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360" yWindow="72" windowWidth="11340" windowHeight="6792" activeTab="2"/>
  </bookViews>
  <sheets>
    <sheet name="Intro" sheetId="6" r:id="rId1"/>
    <sheet name="English" sheetId="4" r:id="rId2"/>
    <sheet name="Metric" sheetId="1" r:id="rId3"/>
    <sheet name="Best Mass" sheetId="8" r:id="rId4"/>
    <sheet name="Class" sheetId="5" r:id="rId5"/>
    <sheet name="Revisions" sheetId="7" r:id="rId6"/>
  </sheets>
  <externalReferences>
    <externalReference r:id="rId7"/>
  </externalReferences>
  <definedNames>
    <definedName name="a">Metric!$F$18</definedName>
    <definedName name="abo">#REF!</definedName>
    <definedName name="ae" localSheetId="3">#REF!</definedName>
    <definedName name="ae">English!$F$18</definedName>
    <definedName name="ae_1">#REF!</definedName>
    <definedName name="aexit">#REF!</definedName>
    <definedName name="am_1">#REF!</definedName>
    <definedName name="astarf">#REF!</definedName>
    <definedName name="at">#REF!</definedName>
    <definedName name="atfinal">#REF!</definedName>
    <definedName name="Cd">Metric!$F$12</definedName>
    <definedName name="cde" localSheetId="3">#REF!</definedName>
    <definedName name="cde">English!$F$12</definedName>
    <definedName name="ci">#REF!</definedName>
    <definedName name="classtab" localSheetId="3">#REF!</definedName>
    <definedName name="classtab">Class!$C$11:$F$25</definedName>
    <definedName name="cstar">#REF!</definedName>
    <definedName name="dc">#REF!</definedName>
    <definedName name="deltap">#REF!</definedName>
    <definedName name="deltat">#REF!</definedName>
    <definedName name="deltax">#REF!</definedName>
    <definedName name="Dia">Metric!$F$11</definedName>
    <definedName name="diae" localSheetId="3">#REF!</definedName>
    <definedName name="diae">English!$F$11</definedName>
    <definedName name="dio">#REF!</definedName>
    <definedName name="do">#REF!</definedName>
    <definedName name="dto">#REF!</definedName>
    <definedName name="ei">#REF!</definedName>
    <definedName name="erate">#REF!</definedName>
    <definedName name="etac">#REF!</definedName>
    <definedName name="etanoz">#REF!</definedName>
    <definedName name="exprat">#REF!</definedName>
    <definedName name="expratfinal">#REF!</definedName>
    <definedName name="f">Metric!$F$7</definedName>
    <definedName name="fact">Metric!$F$27</definedName>
    <definedName name="fact1">Metric!$F$27</definedName>
    <definedName name="fact1e" localSheetId="3">#REF!</definedName>
    <definedName name="fact1e">English!$F$27</definedName>
    <definedName name="fact2">Metric!$F$28</definedName>
    <definedName name="fact2e" localSheetId="3">#REF!</definedName>
    <definedName name="fact2e">English!$F$28</definedName>
    <definedName name="fact3">Metric!$F$29</definedName>
    <definedName name="fact3e" localSheetId="3">#REF!</definedName>
    <definedName name="fact3e">English!$F$29</definedName>
    <definedName name="fact4">Metric!$F$30</definedName>
    <definedName name="fact4e" localSheetId="3">#REF!</definedName>
    <definedName name="fact4e">English!$F$30</definedName>
    <definedName name="fe" localSheetId="3">#REF!</definedName>
    <definedName name="fe">English!$F$7</definedName>
    <definedName name="fmax">#REF!</definedName>
    <definedName name="fueltype">#REF!</definedName>
    <definedName name="gstar">#REF!</definedName>
    <definedName name="it">Metric!$F$8</definedName>
    <definedName name="ite" localSheetId="3">#REF!</definedName>
    <definedName name="ite">English!$F$8</definedName>
    <definedName name="iterm">Metric!$F$26</definedName>
    <definedName name="iterme" localSheetId="3">#REF!</definedName>
    <definedName name="iterme">English!$F$26</definedName>
    <definedName name="itot">#REF!</definedName>
    <definedName name="itsum">#REF!</definedName>
    <definedName name="k">#REF!</definedName>
    <definedName name="k_dx">#REF!</definedName>
    <definedName name="k_ot">#REF!</definedName>
    <definedName name="k_so">#REF!</definedName>
    <definedName name="k2ph">#REF!</definedName>
    <definedName name="kn">#REF!</definedName>
    <definedName name="kndxbn_">#REF!</definedName>
    <definedName name="knrange">#REF!</definedName>
    <definedName name="knsobn_">#REF!</definedName>
    <definedName name="ks_dx">#REF!</definedName>
    <definedName name="ks_ot">#REF!</definedName>
    <definedName name="ks_so">#REF!</definedName>
    <definedName name="kv">#REF!</definedName>
    <definedName name="lc">#REF!</definedName>
    <definedName name="lgo">#REF!</definedName>
    <definedName name="lo">#REF!</definedName>
    <definedName name="m">#REF!</definedName>
    <definedName name="m_dx">#REF!</definedName>
    <definedName name="m_ot">#REF!</definedName>
    <definedName name="m_so">#REF!</definedName>
    <definedName name="me">#REF!</definedName>
    <definedName name="mef">#REF!</definedName>
    <definedName name="mgrain">#REF!</definedName>
    <definedName name="motorclass">#REF!</definedName>
    <definedName name="mp">Metric!$F$9</definedName>
    <definedName name="mpe" localSheetId="3">#REF!</definedName>
    <definedName name="mpe">English!$F$9</definedName>
    <definedName name="mr">Metric!$F$10</definedName>
    <definedName name="mra">Metric!$F$16</definedName>
    <definedName name="mrae" localSheetId="3">#REF!</definedName>
    <definedName name="mrae">English!$F$16</definedName>
    <definedName name="mre" localSheetId="3">#REF!</definedName>
    <definedName name="mre">English!$F$10</definedName>
    <definedName name="n">#REF!</definedName>
    <definedName name="ne_1">#REF!</definedName>
    <definedName name="nm_1">#REF!</definedName>
    <definedName name="osi">#REF!</definedName>
    <definedName name="otherbn_">#REF!</definedName>
    <definedName name="patm">#REF!</definedName>
    <definedName name="pbd">#REF!</definedName>
    <definedName name="pbout">#REF!</definedName>
    <definedName name="pfinal">#REF!</definedName>
    <definedName name="pmax">#REF!</definedName>
    <definedName name="pmaxperc">#REF!</definedName>
    <definedName name="_xlnm.Print_Area" localSheetId="1">English!$A$1:$J$36</definedName>
    <definedName name="_xlnm.Print_Area" localSheetId="0">Intro!$A$1:$J$66</definedName>
    <definedName name="_xlnm.Print_Area" localSheetId="2">Metric!$A$1:$J$36</definedName>
    <definedName name="rat">#REF!</definedName>
    <definedName name="ravg">#REF!</definedName>
    <definedName name="rhopdex">#REF!</definedName>
    <definedName name="rhopgrain">#REF!</definedName>
    <definedName name="rhopgraini">#REF!</definedName>
    <definedName name="rhopot">#REF!</definedName>
    <definedName name="rhopsorb">#REF!</definedName>
    <definedName name="rhorat">#REF!</definedName>
    <definedName name="runiv">#REF!</definedName>
    <definedName name="t">Metric!$F$14</definedName>
    <definedName name="target">'Best Mass'!$A$1</definedName>
    <definedName name="tbinc">#REF!</definedName>
    <definedName name="tbout">#REF!</definedName>
    <definedName name="te" localSheetId="3">#REF!</definedName>
    <definedName name="te">English!$F$14</definedName>
    <definedName name="tincp">#REF!</definedName>
    <definedName name="to">#REF!</definedName>
    <definedName name="to_dx">#REF!</definedName>
    <definedName name="to_ot">#REF!</definedName>
    <definedName name="to_so">#REF!</definedName>
    <definedName name="tothe">#REF!</definedName>
    <definedName name="tthr">#REF!</definedName>
    <definedName name="tweb">[1]Calcs!$F$25</definedName>
    <definedName name="twebfinal">#REF!</definedName>
    <definedName name="twebout">#REF!</definedName>
    <definedName name="two">#REF!</definedName>
    <definedName name="vc">#REF!</definedName>
    <definedName name="vg">#REF!</definedName>
    <definedName name="vmax">Metric!$F$23</definedName>
    <definedName name="vmaxe" localSheetId="3">#REF!</definedName>
    <definedName name="vmaxe">English!$F$23</definedName>
    <definedName name="xfinal">#REF!</definedName>
    <definedName name="xinc">#REF!</definedName>
    <definedName name="xincp">#REF!</definedName>
    <definedName name="zed1">Metric!$F$24</definedName>
    <definedName name="zed1e" localSheetId="3">#REF!</definedName>
    <definedName name="zed1e">English!$F$24</definedName>
  </definedNames>
  <calcPr calcId="145621"/>
</workbook>
</file>

<file path=xl/calcChain.xml><?xml version="1.0" encoding="utf-8"?>
<calcChain xmlns="http://schemas.openxmlformats.org/spreadsheetml/2006/main">
  <c r="A1" i="8" l="1"/>
  <c r="F16" i="1"/>
  <c r="F18" i="1" s="1"/>
  <c r="F19" i="1" s="1"/>
  <c r="A3" i="8"/>
  <c r="F4" i="8"/>
  <c r="C3" i="8"/>
  <c r="D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F6" i="8"/>
  <c r="F14" i="1"/>
  <c r="F16" i="4"/>
  <c r="F18" i="4" s="1"/>
  <c r="F19" i="4" s="1"/>
  <c r="F14" i="4"/>
  <c r="F15" i="4"/>
  <c r="F15" i="1"/>
  <c r="A4" i="8" l="1"/>
  <c r="A5" i="8" s="1"/>
  <c r="F24" i="4"/>
  <c r="F24" i="1"/>
  <c r="D4" i="8" l="1"/>
  <c r="F23" i="4"/>
  <c r="F21" i="4"/>
  <c r="F22" i="4" s="1"/>
  <c r="A6" i="8"/>
  <c r="D5" i="8"/>
  <c r="F21" i="1"/>
  <c r="F22" i="1" s="1"/>
  <c r="F23" i="1"/>
  <c r="D37" i="1" l="1"/>
  <c r="F26" i="1"/>
  <c r="A7" i="8"/>
  <c r="D6" i="8"/>
  <c r="D37" i="4"/>
  <c r="F26" i="4"/>
  <c r="G26" i="4" l="1"/>
  <c r="F28" i="4"/>
  <c r="F33" i="4" s="1"/>
  <c r="F27" i="4"/>
  <c r="F32" i="4" s="1"/>
  <c r="F30" i="4"/>
  <c r="F36" i="4" s="1"/>
  <c r="F29" i="4"/>
  <c r="F34" i="4" s="1"/>
  <c r="F35" i="4" s="1"/>
  <c r="D7" i="8"/>
  <c r="A8" i="8"/>
  <c r="F28" i="1"/>
  <c r="F33" i="1" s="1"/>
  <c r="F29" i="1"/>
  <c r="F34" i="1" s="1"/>
  <c r="F35" i="1" s="1"/>
  <c r="F30" i="1"/>
  <c r="F36" i="1" s="1"/>
  <c r="F27" i="1"/>
  <c r="F32" i="1" s="1"/>
  <c r="B1" i="8" s="1"/>
  <c r="G26" i="1"/>
  <c r="D8" i="8" l="1"/>
  <c r="F5" i="8" s="1"/>
  <c r="A9" i="8"/>
  <c r="A10" i="8" l="1"/>
  <c r="D9" i="8"/>
  <c r="A11" i="8" l="1"/>
  <c r="D10" i="8"/>
  <c r="A12" i="8" l="1"/>
  <c r="D11" i="8"/>
  <c r="A13" i="8" l="1"/>
  <c r="D12" i="8"/>
  <c r="A14" i="8" l="1"/>
  <c r="D13" i="8"/>
  <c r="D14" i="8" l="1"/>
  <c r="A15" i="8"/>
  <c r="D15" i="8" l="1"/>
  <c r="A16" i="8"/>
  <c r="A17" i="8" l="1"/>
  <c r="D16" i="8"/>
  <c r="A18" i="8" l="1"/>
  <c r="D17" i="8"/>
  <c r="A19" i="8" l="1"/>
  <c r="D18" i="8"/>
  <c r="A20" i="8" l="1"/>
  <c r="D19" i="8"/>
  <c r="A21" i="8" l="1"/>
  <c r="D20" i="8"/>
  <c r="A22" i="8" l="1"/>
  <c r="D21" i="8"/>
  <c r="D22" i="8" l="1"/>
  <c r="A23" i="8"/>
  <c r="A24" i="8" l="1"/>
  <c r="D23" i="8"/>
  <c r="D24" i="8" l="1"/>
  <c r="A25" i="8"/>
  <c r="A26" i="8" l="1"/>
  <c r="D25" i="8"/>
  <c r="D26" i="8" l="1"/>
</calcChain>
</file>

<file path=xl/comments1.xml><?xml version="1.0" encoding="utf-8"?>
<comments xmlns="http://schemas.openxmlformats.org/spreadsheetml/2006/main">
  <authors>
    <author>Bombardier Aerospace</author>
    <author>Richard Nakka</author>
  </authors>
  <commentList>
    <comment ref="D10" authorId="0">
      <text>
        <r>
          <rPr>
            <b/>
            <sz val="8"/>
            <color indexed="81"/>
            <rFont val="Tahoma"/>
          </rPr>
          <t>Weight of rocket, less propellant.</t>
        </r>
        <r>
          <rPr>
            <sz val="8"/>
            <color indexed="81"/>
            <rFont val="Tahoma"/>
          </rPr>
          <t xml:space="preserve">
</t>
        </r>
      </text>
    </comment>
    <comment ref="D12" authorId="0">
      <text>
        <r>
          <rPr>
            <b/>
            <sz val="8"/>
            <color indexed="81"/>
            <rFont val="Tahoma"/>
          </rPr>
          <t>Typically 0.3 to 0.6
The lower the Cd, the less air resistance (drag) of the rocket.</t>
        </r>
        <r>
          <rPr>
            <sz val="8"/>
            <color indexed="81"/>
            <rFont val="Tahoma"/>
          </rPr>
          <t xml:space="preserve">
</t>
        </r>
      </text>
    </comment>
    <comment ref="D15" authorId="1">
      <text>
        <r>
          <rPr>
            <b/>
            <sz val="8"/>
            <color indexed="81"/>
            <rFont val="Tahoma"/>
          </rPr>
          <t>See "Class" worksheet</t>
        </r>
        <r>
          <rPr>
            <sz val="8"/>
            <color indexed="81"/>
            <rFont val="Tahoma"/>
          </rPr>
          <t xml:space="preserve">
</t>
        </r>
      </text>
    </comment>
    <comment ref="D26" authorId="0">
      <text>
        <r>
          <rPr>
            <sz val="8"/>
            <color indexed="81"/>
            <rFont val="Tahoma"/>
          </rPr>
          <t xml:space="preserve">This term is influenced by rocket diameter, drag coefficient, burnout velocity and dead mass. The higher the value, the greater the effect of drag.
</t>
        </r>
      </text>
    </comment>
    <comment ref="D27" authorId="0">
      <text>
        <r>
          <rPr>
            <b/>
            <sz val="8"/>
            <color indexed="81"/>
            <rFont val="Tahoma"/>
          </rPr>
          <t>Max altitude is reduced due to aerodynamic drag.</t>
        </r>
        <r>
          <rPr>
            <sz val="8"/>
            <color indexed="81"/>
            <rFont val="Tahoma"/>
          </rPr>
          <t xml:space="preserve">
</t>
        </r>
      </text>
    </comment>
    <comment ref="D28" authorId="0">
      <text>
        <r>
          <rPr>
            <b/>
            <sz val="8"/>
            <color indexed="81"/>
            <rFont val="Tahoma"/>
          </rPr>
          <t>Time to peak is reduced due to aerodynamic drag.</t>
        </r>
        <r>
          <rPr>
            <sz val="8"/>
            <color indexed="81"/>
            <rFont val="Tahoma"/>
          </rPr>
          <t xml:space="preserve">
</t>
        </r>
      </text>
    </comment>
    <comment ref="D29" authorId="0">
      <text>
        <r>
          <rPr>
            <b/>
            <sz val="8"/>
            <color indexed="81"/>
            <rFont val="Tahoma"/>
          </rPr>
          <t>Max velocity is reduced due to aerodynamic drag.</t>
        </r>
        <r>
          <rPr>
            <sz val="8"/>
            <color indexed="81"/>
            <rFont val="Tahoma"/>
          </rPr>
          <t xml:space="preserve">
</t>
        </r>
      </text>
    </comment>
    <comment ref="D30" authorId="0">
      <text>
        <r>
          <rPr>
            <b/>
            <sz val="8"/>
            <color indexed="81"/>
            <rFont val="Tahoma"/>
          </rPr>
          <t>Motor burnout altitude is reduced due to aerodynamic drag.</t>
        </r>
        <r>
          <rPr>
            <sz val="8"/>
            <color indexed="81"/>
            <rFont val="Tahoma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Bombardier Aerospace</author>
    <author>Richard Nakka</author>
  </authors>
  <commentList>
    <comment ref="D10" authorId="0">
      <text>
        <r>
          <rPr>
            <b/>
            <sz val="8"/>
            <color indexed="81"/>
            <rFont val="Tahoma"/>
          </rPr>
          <t>Mass of rocket less propellant</t>
        </r>
        <r>
          <rPr>
            <sz val="8"/>
            <color indexed="81"/>
            <rFont val="Tahoma"/>
          </rPr>
          <t xml:space="preserve">
</t>
        </r>
      </text>
    </comment>
    <comment ref="D12" authorId="0">
      <text>
        <r>
          <rPr>
            <b/>
            <sz val="8"/>
            <color indexed="81"/>
            <rFont val="Tahoma"/>
          </rPr>
          <t>Typically 0.3 to 0.6
The lower the Cd, the less air resistance (drag) of the rocket.</t>
        </r>
        <r>
          <rPr>
            <sz val="8"/>
            <color indexed="81"/>
            <rFont val="Tahoma"/>
          </rPr>
          <t xml:space="preserve">
</t>
        </r>
      </text>
    </comment>
    <comment ref="D15" authorId="1">
      <text>
        <r>
          <rPr>
            <b/>
            <sz val="8"/>
            <color indexed="81"/>
            <rFont val="Tahoma"/>
          </rPr>
          <t>See "Class worksheet".</t>
        </r>
        <r>
          <rPr>
            <sz val="8"/>
            <color indexed="81"/>
            <rFont val="Tahoma"/>
          </rPr>
          <t xml:space="preserve">
</t>
        </r>
      </text>
    </comment>
    <comment ref="D26" authorId="0">
      <text>
        <r>
          <rPr>
            <sz val="8"/>
            <color indexed="81"/>
            <rFont val="Tahoma"/>
          </rPr>
          <t>This term is influenced by rocket diameter, drag coefficient, burnout velocity and dead mass. The higher the value,  the greater the effect of drag.</t>
        </r>
      </text>
    </comment>
    <comment ref="D27" authorId="0">
      <text>
        <r>
          <rPr>
            <b/>
            <sz val="8"/>
            <color indexed="81"/>
            <rFont val="Tahoma"/>
          </rPr>
          <t>Max altitude is reduced due to aerodynamic drag.</t>
        </r>
        <r>
          <rPr>
            <sz val="8"/>
            <color indexed="81"/>
            <rFont val="Tahoma"/>
          </rPr>
          <t xml:space="preserve">
</t>
        </r>
      </text>
    </comment>
    <comment ref="D28" authorId="0">
      <text>
        <r>
          <rPr>
            <b/>
            <sz val="8"/>
            <color indexed="81"/>
            <rFont val="Tahoma"/>
          </rPr>
          <t>Time to peak is reduced due to aerodynamic drag.</t>
        </r>
        <r>
          <rPr>
            <sz val="8"/>
            <color indexed="81"/>
            <rFont val="Tahoma"/>
          </rPr>
          <t xml:space="preserve">
</t>
        </r>
      </text>
    </comment>
    <comment ref="D29" authorId="0">
      <text>
        <r>
          <rPr>
            <b/>
            <sz val="8"/>
            <color indexed="81"/>
            <rFont val="Tahoma"/>
          </rPr>
          <t>Max velocity is reduced due to aerodynamic drag.</t>
        </r>
        <r>
          <rPr>
            <sz val="8"/>
            <color indexed="81"/>
            <rFont val="Tahoma"/>
          </rPr>
          <t xml:space="preserve">
</t>
        </r>
      </text>
    </comment>
    <comment ref="D30" authorId="0">
      <text>
        <r>
          <rPr>
            <b/>
            <sz val="8"/>
            <color indexed="81"/>
            <rFont val="Tahoma"/>
          </rPr>
          <t>Motor burnout altitude is reduced due to aerodynamic drag.</t>
        </r>
        <r>
          <rPr>
            <sz val="8"/>
            <color indexed="81"/>
            <rFont val="Tahoma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Familia Serrano Ardila</author>
    <author>INVARCO S.A.</author>
  </authors>
  <commentList>
    <comment ref="F2" authorId="0">
      <text>
        <r>
          <rPr>
            <b/>
            <sz val="8"/>
            <color indexed="81"/>
            <rFont val="Tahoma"/>
            <family val="2"/>
          </rPr>
          <t>Value must be greater than ZERO.</t>
        </r>
      </text>
    </comment>
    <comment ref="F5" authorId="1">
      <text>
        <r>
          <rPr>
            <b/>
            <sz val="8"/>
            <color indexed="81"/>
            <rFont val="Tahoma"/>
            <family val="2"/>
          </rPr>
          <t>Best mass of the range. The accuracy of the result depends on the range you specify. If the range is smaller, the result will be more accurate.</t>
        </r>
      </text>
    </comment>
  </commentList>
</comments>
</file>

<file path=xl/sharedStrings.xml><?xml version="1.0" encoding="utf-8"?>
<sst xmlns="http://schemas.openxmlformats.org/spreadsheetml/2006/main" count="298" uniqueCount="186">
  <si>
    <t>F =</t>
  </si>
  <si>
    <t>N.</t>
  </si>
  <si>
    <t>Rocket dead mass</t>
  </si>
  <si>
    <r>
      <t>m</t>
    </r>
    <r>
      <rPr>
        <sz val="8"/>
        <rFont val="Arial"/>
        <family val="2"/>
      </rPr>
      <t>r</t>
    </r>
    <r>
      <rPr>
        <sz val="10"/>
        <rFont val="Arial"/>
      </rPr>
      <t xml:space="preserve"> =</t>
    </r>
  </si>
  <si>
    <t>kg.</t>
  </si>
  <si>
    <t>Motor propellant mass</t>
  </si>
  <si>
    <r>
      <t>m</t>
    </r>
    <r>
      <rPr>
        <sz val="8"/>
        <rFont val="Arial"/>
        <family val="2"/>
      </rPr>
      <t>p</t>
    </r>
    <r>
      <rPr>
        <sz val="10"/>
        <rFont val="Arial"/>
      </rPr>
      <t xml:space="preserve"> =</t>
    </r>
  </si>
  <si>
    <t>Motor total impulse</t>
  </si>
  <si>
    <t>Motor thrust time</t>
  </si>
  <si>
    <r>
      <t>I</t>
    </r>
    <r>
      <rPr>
        <sz val="8"/>
        <rFont val="Arial"/>
        <family val="2"/>
      </rPr>
      <t>t</t>
    </r>
    <r>
      <rPr>
        <sz val="10"/>
        <rFont val="Arial"/>
      </rPr>
      <t xml:space="preserve"> =</t>
    </r>
  </si>
  <si>
    <r>
      <t>t</t>
    </r>
    <r>
      <rPr>
        <sz val="10"/>
        <rFont val="Arial"/>
      </rPr>
      <t xml:space="preserve"> =</t>
    </r>
  </si>
  <si>
    <t>N-sec.</t>
  </si>
  <si>
    <t>sec.</t>
  </si>
  <si>
    <r>
      <t>z</t>
    </r>
    <r>
      <rPr>
        <sz val="8"/>
        <rFont val="Arial"/>
        <family val="2"/>
      </rPr>
      <t>1</t>
    </r>
    <r>
      <rPr>
        <sz val="10"/>
        <rFont val="Arial"/>
      </rPr>
      <t xml:space="preserve"> =</t>
    </r>
  </si>
  <si>
    <t>Burnout altitude</t>
  </si>
  <si>
    <t>Rocket avg. flight mass</t>
  </si>
  <si>
    <r>
      <t>m</t>
    </r>
    <r>
      <rPr>
        <sz val="8"/>
        <rFont val="Arial"/>
        <family val="2"/>
      </rPr>
      <t>ra</t>
    </r>
    <r>
      <rPr>
        <sz val="10"/>
        <rFont val="Arial"/>
      </rPr>
      <t xml:space="preserve"> =</t>
    </r>
  </si>
  <si>
    <t>Peak altitude</t>
  </si>
  <si>
    <r>
      <t>z</t>
    </r>
    <r>
      <rPr>
        <sz val="8"/>
        <rFont val="Arial"/>
        <family val="2"/>
      </rPr>
      <t>2</t>
    </r>
    <r>
      <rPr>
        <sz val="10"/>
        <rFont val="Arial"/>
      </rPr>
      <t xml:space="preserve"> =</t>
    </r>
  </si>
  <si>
    <r>
      <t>v</t>
    </r>
    <r>
      <rPr>
        <sz val="8"/>
        <rFont val="Arial"/>
        <family val="2"/>
      </rPr>
      <t>1</t>
    </r>
    <r>
      <rPr>
        <sz val="10"/>
        <rFont val="Arial"/>
      </rPr>
      <t xml:space="preserve"> =</t>
    </r>
  </si>
  <si>
    <t>a =</t>
  </si>
  <si>
    <t>g's</t>
  </si>
  <si>
    <t>Rocket diameter (max)</t>
  </si>
  <si>
    <t>Rocket drag coefficient</t>
  </si>
  <si>
    <t>D =</t>
  </si>
  <si>
    <t>cm.</t>
  </si>
  <si>
    <t>Peak altitude reduction factor</t>
  </si>
  <si>
    <t>metres</t>
  </si>
  <si>
    <r>
      <t xml:space="preserve">(valid for </t>
    </r>
    <r>
      <rPr>
        <i/>
        <sz val="10"/>
        <rFont val="Arial"/>
        <family val="2"/>
      </rPr>
      <t>subsonic</t>
    </r>
    <r>
      <rPr>
        <sz val="10"/>
        <rFont val="Arial"/>
      </rPr>
      <t xml:space="preserve"> rockets only)</t>
    </r>
  </si>
  <si>
    <t>Version:</t>
  </si>
  <si>
    <t>Date:</t>
  </si>
  <si>
    <r>
      <t>Instructions:</t>
    </r>
    <r>
      <rPr>
        <i/>
        <sz val="10"/>
        <color indexed="10"/>
        <rFont val="Arial"/>
        <family val="2"/>
      </rPr>
      <t xml:space="preserve"> Enter data in </t>
    </r>
    <r>
      <rPr>
        <b/>
        <i/>
        <sz val="10"/>
        <color indexed="12"/>
        <rFont val="Arial"/>
        <family val="2"/>
      </rPr>
      <t>blue</t>
    </r>
    <r>
      <rPr>
        <i/>
        <sz val="10"/>
        <color indexed="10"/>
        <rFont val="Arial"/>
        <family val="2"/>
      </rPr>
      <t xml:space="preserve"> text (boxed cells).</t>
    </r>
  </si>
  <si>
    <t>EzAlt.xls</t>
  </si>
  <si>
    <t>(MS Excel 97)</t>
  </si>
  <si>
    <t>lb.</t>
  </si>
  <si>
    <t>lb-sec.</t>
  </si>
  <si>
    <t>Motor propellant weight</t>
  </si>
  <si>
    <t>Rocket dead weight</t>
  </si>
  <si>
    <t>Rocket avg. flight weight</t>
  </si>
  <si>
    <t>feet</t>
  </si>
  <si>
    <r>
      <t>feet/sec</t>
    </r>
    <r>
      <rPr>
        <vertAlign val="superscript"/>
        <sz val="10"/>
        <rFont val="Arial"/>
        <family val="2"/>
      </rPr>
      <t>2</t>
    </r>
  </si>
  <si>
    <t>feet/sec.</t>
  </si>
  <si>
    <t>metre/sec.</t>
  </si>
  <si>
    <t>Richard Nakka's Experimental Rocketry Website</t>
  </si>
  <si>
    <t>http://www.nakka-rocketry.net</t>
  </si>
  <si>
    <r>
      <t>t</t>
    </r>
    <r>
      <rPr>
        <sz val="8"/>
        <rFont val="Arial"/>
        <family val="2"/>
      </rPr>
      <t>2</t>
    </r>
    <r>
      <rPr>
        <sz val="10"/>
        <rFont val="Arial"/>
      </rPr>
      <t xml:space="preserve"> =</t>
    </r>
  </si>
  <si>
    <t>Time to peak altitude</t>
  </si>
  <si>
    <t>Title</t>
  </si>
  <si>
    <t>Class</t>
  </si>
  <si>
    <t>Total Impulse</t>
  </si>
  <si>
    <t>-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</si>
  <si>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</si>
  <si>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</si>
  <si>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</si>
  <si>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</si>
  <si>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</si>
  <si>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</si>
  <si>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</si>
  <si>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</si>
  <si>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</si>
  <si>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</si>
  <si>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Motor classification</t>
  </si>
  <si>
    <t>Max velocity</t>
  </si>
  <si>
    <r>
      <t>t</t>
    </r>
    <r>
      <rPr>
        <b/>
        <sz val="8"/>
        <rFont val="Arial"/>
        <family val="2"/>
      </rPr>
      <t xml:space="preserve"> peak</t>
    </r>
    <r>
      <rPr>
        <b/>
        <sz val="10"/>
        <rFont val="Arial"/>
        <family val="2"/>
      </rPr>
      <t xml:space="preserve"> =</t>
    </r>
  </si>
  <si>
    <r>
      <t>Z</t>
    </r>
    <r>
      <rPr>
        <b/>
        <sz val="8"/>
        <rFont val="Arial"/>
        <family val="2"/>
      </rPr>
      <t xml:space="preserve"> peak</t>
    </r>
    <r>
      <rPr>
        <b/>
        <sz val="10"/>
        <rFont val="Arial"/>
        <family val="2"/>
      </rPr>
      <t xml:space="preserve"> =</t>
    </r>
  </si>
  <si>
    <r>
      <t>V</t>
    </r>
    <r>
      <rPr>
        <b/>
        <sz val="8"/>
        <rFont val="Arial"/>
        <family val="2"/>
      </rPr>
      <t xml:space="preserve"> max</t>
    </r>
    <r>
      <rPr>
        <b/>
        <sz val="10"/>
        <rFont val="Arial"/>
        <family val="2"/>
      </rPr>
      <t xml:space="preserve"> =</t>
    </r>
  </si>
  <si>
    <r>
      <t>Z</t>
    </r>
    <r>
      <rPr>
        <b/>
        <sz val="8"/>
        <rFont val="Arial"/>
        <family val="2"/>
      </rPr>
      <t xml:space="preserve"> bo</t>
    </r>
    <r>
      <rPr>
        <b/>
        <sz val="10"/>
        <rFont val="Arial"/>
        <family val="2"/>
      </rPr>
      <t xml:space="preserve"> =</t>
    </r>
  </si>
  <si>
    <r>
      <t>f</t>
    </r>
    <r>
      <rPr>
        <sz val="8"/>
        <rFont val="Arial"/>
        <family val="2"/>
      </rPr>
      <t>1</t>
    </r>
    <r>
      <rPr>
        <sz val="10"/>
        <rFont val="Arial"/>
      </rPr>
      <t xml:space="preserve"> =</t>
    </r>
  </si>
  <si>
    <r>
      <t>f</t>
    </r>
    <r>
      <rPr>
        <sz val="8"/>
        <rFont val="Arial"/>
        <family val="2"/>
      </rPr>
      <t>2</t>
    </r>
    <r>
      <rPr>
        <sz val="10"/>
        <rFont val="Arial"/>
      </rPr>
      <t xml:space="preserve"> =</t>
    </r>
  </si>
  <si>
    <r>
      <t>f</t>
    </r>
    <r>
      <rPr>
        <sz val="8"/>
        <rFont val="Arial"/>
        <family val="2"/>
      </rPr>
      <t>3</t>
    </r>
    <r>
      <rPr>
        <sz val="10"/>
        <rFont val="Arial"/>
      </rPr>
      <t xml:space="preserve"> =</t>
    </r>
  </si>
  <si>
    <r>
      <t>f</t>
    </r>
    <r>
      <rPr>
        <sz val="8"/>
        <rFont val="Arial"/>
        <family val="2"/>
      </rPr>
      <t>4</t>
    </r>
    <r>
      <rPr>
        <sz val="10"/>
        <rFont val="Arial"/>
      </rPr>
      <t xml:space="preserve"> =</t>
    </r>
  </si>
  <si>
    <t>Time to peak reduction factor</t>
  </si>
  <si>
    <t>Max velocity reduction factor</t>
  </si>
  <si>
    <t>Burnout altitude reduction factor</t>
  </si>
  <si>
    <t>resistance)</t>
  </si>
  <si>
    <t>drag)</t>
  </si>
  <si>
    <t>Drag reduction factors</t>
  </si>
  <si>
    <r>
      <t>Ideal</t>
    </r>
    <r>
      <rPr>
        <sz val="10"/>
        <rFont val="Arial"/>
      </rPr>
      <t xml:space="preserve"> (no drag</t>
    </r>
  </si>
  <si>
    <t>Input data</t>
  </si>
  <si>
    <r>
      <t>Predicted</t>
    </r>
    <r>
      <rPr>
        <sz val="10"/>
        <rFont val="Arial"/>
      </rPr>
      <t xml:space="preserve"> (with</t>
    </r>
  </si>
  <si>
    <t>km/hr</t>
  </si>
  <si>
    <t>inch</t>
  </si>
  <si>
    <r>
      <t>metre/sec</t>
    </r>
    <r>
      <rPr>
        <vertAlign val="superscript"/>
        <sz val="10"/>
        <rFont val="Arial"/>
        <family val="2"/>
      </rPr>
      <t>2</t>
    </r>
  </si>
  <si>
    <t xml:space="preserve">feet  </t>
  </si>
  <si>
    <t>MPH</t>
  </si>
  <si>
    <t xml:space="preserve">feet </t>
  </si>
  <si>
    <t>Rocket Motor Classification System</t>
  </si>
  <si>
    <t>Motor average thrust</t>
  </si>
  <si>
    <t>Written by:</t>
  </si>
  <si>
    <t>For free distribution</t>
  </si>
  <si>
    <t>(Newton-seconds)</t>
  </si>
  <si>
    <t>Record of Revisions</t>
  </si>
  <si>
    <t>Version</t>
  </si>
  <si>
    <t>Date</t>
  </si>
  <si>
    <t>Worksheet</t>
  </si>
  <si>
    <t>Changes</t>
  </si>
  <si>
    <t>All</t>
  </si>
  <si>
    <t>Initial release</t>
  </si>
  <si>
    <t>- Propellant mass</t>
  </si>
  <si>
    <t>- Rocket empty mass</t>
  </si>
  <si>
    <t>- Rocket maximum diameter</t>
  </si>
  <si>
    <t>- Motor total impulse</t>
  </si>
  <si>
    <t>- Drag coefficient</t>
  </si>
  <si>
    <t>data describing the rocket, which consists of:</t>
  </si>
  <si>
    <t>accurate estimate of the flight performance is needed.</t>
  </si>
  <si>
    <r>
      <t xml:space="preserve">what if </t>
    </r>
    <r>
      <rPr>
        <sz val="10"/>
        <rFont val="Arial"/>
      </rPr>
      <t xml:space="preserve">mass is reduced, </t>
    </r>
    <r>
      <rPr>
        <i/>
        <sz val="10"/>
        <rFont val="Arial"/>
        <family val="2"/>
      </rPr>
      <t>what if</t>
    </r>
    <r>
      <rPr>
        <sz val="10"/>
        <rFont val="Arial"/>
      </rPr>
      <t xml:space="preserve"> motor output or size is increased, etc.)</t>
    </r>
  </si>
  <si>
    <r>
      <t>As such, this spreadsheet is ideally suited to studying "what if" scenarios (</t>
    </r>
    <r>
      <rPr>
        <i/>
        <sz val="10"/>
        <rFont val="Arial"/>
        <family val="2"/>
      </rPr>
      <t>what if</t>
    </r>
    <r>
      <rPr>
        <sz val="10"/>
        <rFont val="Arial"/>
      </rPr>
      <t xml:space="preserve"> drag is reduced,</t>
    </r>
  </si>
  <si>
    <r>
      <t xml:space="preserve">For versatility, the analysis is performed using either </t>
    </r>
    <r>
      <rPr>
        <b/>
        <sz val="10"/>
        <color indexed="60"/>
        <rFont val="Arial"/>
        <family val="2"/>
      </rPr>
      <t>English</t>
    </r>
    <r>
      <rPr>
        <sz val="10"/>
        <rFont val="Arial"/>
      </rPr>
      <t xml:space="preserve"> or </t>
    </r>
    <r>
      <rPr>
        <b/>
        <sz val="10"/>
        <color indexed="60"/>
        <rFont val="Arial"/>
        <family val="2"/>
      </rPr>
      <t>Metric</t>
    </r>
    <r>
      <rPr>
        <sz val="10"/>
        <rFont val="Arial"/>
      </rPr>
      <t xml:space="preserve"> units of measure.</t>
    </r>
  </si>
  <si>
    <t>The methodology utilized by this spreadsheet is novel in its approach to the solution of a rocket's</t>
  </si>
  <si>
    <t>N =</t>
  </si>
  <si>
    <r>
      <t>C</t>
    </r>
    <r>
      <rPr>
        <sz val="8"/>
        <rFont val="Arial"/>
        <family val="2"/>
      </rPr>
      <t>d</t>
    </r>
    <r>
      <rPr>
        <sz val="10"/>
        <rFont val="Arial"/>
      </rPr>
      <t xml:space="preserve"> =</t>
    </r>
  </si>
  <si>
    <r>
      <t xml:space="preserve">or   </t>
    </r>
    <r>
      <rPr>
        <b/>
        <sz val="10"/>
        <rFont val="Arial"/>
        <family val="2"/>
      </rPr>
      <t>a =</t>
    </r>
  </si>
  <si>
    <r>
      <t>or</t>
    </r>
    <r>
      <rPr>
        <b/>
        <sz val="10"/>
        <rFont val="Arial"/>
        <family val="2"/>
      </rPr>
      <t xml:space="preserve">  V</t>
    </r>
    <r>
      <rPr>
        <b/>
        <sz val="8"/>
        <rFont val="Arial"/>
        <family val="2"/>
      </rPr>
      <t xml:space="preserve"> max</t>
    </r>
    <r>
      <rPr>
        <b/>
        <sz val="10"/>
        <rFont val="Arial"/>
        <family val="2"/>
      </rPr>
      <t xml:space="preserve"> =</t>
    </r>
  </si>
  <si>
    <t xml:space="preserve">Rocket mass: </t>
  </si>
  <si>
    <t>Motor range:</t>
  </si>
  <si>
    <t>Rocket diameter:</t>
  </si>
  <si>
    <t>For more complete details on the both the methodology and on the simulations that were run, visit:</t>
  </si>
  <si>
    <r>
      <t xml:space="preserve">where </t>
    </r>
    <r>
      <rPr>
        <i/>
        <sz val="10"/>
        <rFont val="Arial"/>
        <family val="2"/>
      </rPr>
      <t>C</t>
    </r>
    <r>
      <rPr>
        <i/>
        <sz val="8"/>
        <rFont val="Arial"/>
        <family val="2"/>
      </rPr>
      <t>d</t>
    </r>
    <r>
      <rPr>
        <sz val="10"/>
        <rFont val="Arial"/>
      </rPr>
      <t xml:space="preserve"> is the drag coefficient, </t>
    </r>
    <r>
      <rPr>
        <i/>
        <sz val="10"/>
        <rFont val="Arial"/>
        <family val="2"/>
      </rPr>
      <t xml:space="preserve">D </t>
    </r>
    <r>
      <rPr>
        <sz val="10"/>
        <rFont val="Arial"/>
      </rPr>
      <t xml:space="preserve">is the rocket diameter, </t>
    </r>
    <r>
      <rPr>
        <i/>
        <sz val="10"/>
        <rFont val="Arial"/>
        <family val="2"/>
      </rPr>
      <t>V</t>
    </r>
    <r>
      <rPr>
        <i/>
        <sz val="8"/>
        <rFont val="Arial"/>
        <family val="2"/>
      </rPr>
      <t>bo</t>
    </r>
    <r>
      <rPr>
        <sz val="10"/>
        <rFont val="Arial"/>
      </rPr>
      <t xml:space="preserve"> is the burnout velocity for the </t>
    </r>
  </si>
  <si>
    <r>
      <t xml:space="preserve">condition of zero drag, and </t>
    </r>
    <r>
      <rPr>
        <i/>
        <sz val="10"/>
        <rFont val="Arial"/>
        <family val="2"/>
      </rPr>
      <t>m</t>
    </r>
    <r>
      <rPr>
        <i/>
        <sz val="8"/>
        <rFont val="Arial"/>
        <family val="2"/>
      </rPr>
      <t>r</t>
    </r>
    <r>
      <rPr>
        <sz val="10"/>
        <rFont val="Arial"/>
      </rPr>
      <t xml:space="preserve"> is the rocket dead mass (1000 is used to reduce the number to a</t>
    </r>
  </si>
  <si>
    <t>more convenient magnitude).</t>
  </si>
  <si>
    <t>This spreadsheet is meant to be very simple to use, with instant answers outputted on the same page.</t>
  </si>
  <si>
    <t>velocity is greater than the speed of sound at sea level, a warning message is given.</t>
  </si>
  <si>
    <t>The drag reduction factors, which are derived functions of the Drag Influence Number, are applied to</t>
  </si>
  <si>
    <t>the ideal values of peak altitude, maximum velocity, time to peak altitude, and burnout altitude.</t>
  </si>
  <si>
    <t>These factors were derived through an investigative analysis which involved running a large number of</t>
  </si>
  <si>
    <t>flight simulations using a conventional flight simulation software. The flight simulations were based on</t>
  </si>
  <si>
    <t xml:space="preserve"> Drag Influence number</t>
  </si>
  <si>
    <t>Mass [kg]</t>
  </si>
  <si>
    <t>m</t>
  </si>
  <si>
    <t>alt</t>
  </si>
  <si>
    <t>Minimum mass:</t>
  </si>
  <si>
    <t>kg</t>
  </si>
  <si>
    <t>Maximum mass:</t>
  </si>
  <si>
    <t>Interval:</t>
  </si>
  <si>
    <t>Best mass:</t>
  </si>
  <si>
    <t>Altitude [m]</t>
  </si>
  <si>
    <t>Maximum altitude:</t>
  </si>
  <si>
    <t>Richard A.Nakka*</t>
  </si>
  <si>
    <r>
      <t>*</t>
    </r>
    <r>
      <rPr>
        <sz val="8"/>
        <color indexed="56"/>
        <rFont val="Arial"/>
        <family val="2"/>
      </rPr>
      <t xml:space="preserve"> "Best Mass" worksheet written by Jorge Andres Serrano Ardila</t>
    </r>
  </si>
  <si>
    <t>altitude (available in metric only).</t>
  </si>
  <si>
    <t>Intro, Best Mass</t>
  </si>
  <si>
    <t>Introduction revised; Best Mass worksheet added.</t>
  </si>
  <si>
    <t>English</t>
  </si>
  <si>
    <r>
      <t xml:space="preserve">This spreadsheet estimates the </t>
    </r>
    <r>
      <rPr>
        <b/>
        <sz val="10"/>
        <color indexed="10"/>
        <rFont val="Arial"/>
        <family val="2"/>
      </rPr>
      <t xml:space="preserve">flight performance </t>
    </r>
    <r>
      <rPr>
        <sz val="10"/>
        <rFont val="Arial"/>
      </rPr>
      <t xml:space="preserve">of a hobby rocket, based on </t>
    </r>
    <r>
      <rPr>
        <sz val="10"/>
        <color indexed="12"/>
        <rFont val="Arial"/>
        <family val="2"/>
      </rPr>
      <t>user inputted</t>
    </r>
  </si>
  <si>
    <t>- Motor average thrust or burn time</t>
  </si>
  <si>
    <t>It is intended primarily for preliminary design work of a hobby rocket, when a quick and reasonably</t>
  </si>
  <si>
    <r>
      <t>The "</t>
    </r>
    <r>
      <rPr>
        <b/>
        <sz val="10"/>
        <color indexed="20"/>
        <rFont val="Arial"/>
        <family val="2"/>
      </rPr>
      <t>Best Mass</t>
    </r>
    <r>
      <rPr>
        <sz val="10"/>
        <rFont val="Arial"/>
      </rPr>
      <t>" worksheet automatically determines the rocket mass that will result in the greatest</t>
    </r>
  </si>
  <si>
    <t>Note that this software is intended for predicting the flight performance of "typical" hobby rockets,</t>
  </si>
  <si>
    <t>(see below) and as such, the results may not be valid for non-typical configurations. Also, the validity</t>
  </si>
  <si>
    <r>
      <t xml:space="preserve">encompasses rockets that operate only within the </t>
    </r>
    <r>
      <rPr>
        <b/>
        <sz val="10"/>
        <color indexed="10"/>
        <rFont val="Arial"/>
        <family val="2"/>
      </rPr>
      <t>subsonic flight regime</t>
    </r>
    <r>
      <rPr>
        <sz val="10"/>
        <rFont val="Arial"/>
      </rPr>
      <t>. If the predicted maximum</t>
    </r>
  </si>
  <si>
    <t>"typical" hobby sized rockets, in particular:</t>
  </si>
  <si>
    <t>2 to 15 cm   (0.75 to 6 inch)</t>
  </si>
  <si>
    <t>For rocket configurations outside these ranges, the results may not be fully valid.</t>
  </si>
  <si>
    <t xml:space="preserve"> FLIGHT  PERFORMANCE  ESTIMATOR  FOR  HOBBY  ROCKETS</t>
  </si>
  <si>
    <t>Directions: Enter a range of values for rocket dead mass (min, max)</t>
  </si>
  <si>
    <r>
      <t xml:space="preserve">This worksheet uses the rocket configuration defined in the </t>
    </r>
    <r>
      <rPr>
        <b/>
        <u/>
        <sz val="12"/>
        <rFont val="Arial"/>
        <family val="2"/>
      </rPr>
      <t>Metric</t>
    </r>
    <r>
      <rPr>
        <b/>
        <sz val="12"/>
        <rFont val="Arial"/>
        <family val="2"/>
      </rPr>
      <t xml:space="preserve"> worksheet</t>
    </r>
  </si>
  <si>
    <t>Intro</t>
  </si>
  <si>
    <t>Fixed error in "valid range" warning message.</t>
  </si>
  <si>
    <t>Metric</t>
  </si>
  <si>
    <t>Feb. 2007</t>
  </si>
  <si>
    <t>Version &amp; date updated.</t>
  </si>
  <si>
    <t>Best mass</t>
  </si>
  <si>
    <t>Clarification statement added.</t>
  </si>
  <si>
    <r>
      <t xml:space="preserve">flight performance. The performance is calculated using </t>
    </r>
    <r>
      <rPr>
        <i/>
        <sz val="10"/>
        <rFont val="Arial"/>
        <family val="2"/>
      </rPr>
      <t>energy conservation</t>
    </r>
    <r>
      <rPr>
        <sz val="10"/>
        <rFont val="Arial"/>
      </rPr>
      <t xml:space="preserve"> methods, for the </t>
    </r>
  </si>
  <si>
    <r>
      <t>condition of zero aerodynamic drag losses. This provides the "</t>
    </r>
    <r>
      <rPr>
        <sz val="10"/>
        <rFont val="Arial"/>
        <family val="2"/>
      </rPr>
      <t xml:space="preserve">ideal" values </t>
    </r>
    <r>
      <rPr>
        <sz val="10"/>
        <rFont val="Arial"/>
      </rPr>
      <t xml:space="preserve">for altitude, velocity, etc. in </t>
    </r>
  </si>
  <si>
    <r>
      <t xml:space="preserve">and are applied to the ideal values. The </t>
    </r>
    <r>
      <rPr>
        <b/>
        <sz val="10"/>
        <rFont val="Arial"/>
        <family val="2"/>
      </rPr>
      <t>Drag Influence Number (N)</t>
    </r>
    <r>
      <rPr>
        <sz val="10"/>
        <rFont val="Arial"/>
      </rPr>
      <t xml:space="preserve"> is defined as:</t>
    </r>
  </si>
  <si>
    <r>
      <t>actual</t>
    </r>
    <r>
      <rPr>
        <sz val="10"/>
        <rFont val="Arial"/>
        <family val="2"/>
      </rPr>
      <t xml:space="preserve"> (predicted) values based on </t>
    </r>
    <r>
      <rPr>
        <i/>
        <sz val="10"/>
        <rFont val="Arial"/>
        <family val="2"/>
      </rPr>
      <t>drag reduction factors</t>
    </r>
    <r>
      <rPr>
        <sz val="10"/>
        <rFont val="Arial"/>
      </rPr>
      <t xml:space="preserve"> which take into account aerodynamic drag, </t>
    </r>
  </si>
  <si>
    <r>
      <t xml:space="preserve">the absence of aerodynamic drag. A </t>
    </r>
    <r>
      <rPr>
        <i/>
        <sz val="10"/>
        <rFont val="Arial"/>
        <family val="2"/>
      </rPr>
      <t>Drag Influence Number</t>
    </r>
    <r>
      <rPr>
        <sz val="10"/>
        <rFont val="Arial"/>
      </rPr>
      <t xml:space="preserve"> is then used to correlate the ideal values to </t>
    </r>
  </si>
  <si>
    <t>Peak altitude (zero drag)</t>
  </si>
  <si>
    <t>Time to peak altitude (zero drag)</t>
  </si>
  <si>
    <t>Max velocity (zero drag)</t>
  </si>
  <si>
    <t>Burnout altitude (zero drag)</t>
  </si>
  <si>
    <r>
      <t xml:space="preserve">Acceleration </t>
    </r>
    <r>
      <rPr>
        <sz val="10"/>
        <rFont val="Arial"/>
        <family val="2"/>
      </rPr>
      <t>(average)</t>
    </r>
  </si>
  <si>
    <t>Title changed; text changed</t>
  </si>
  <si>
    <t>Feb. 2007 (originally released Dec. 2002)</t>
  </si>
  <si>
    <t>example rocket</t>
  </si>
  <si>
    <t>A to K   (1.3 to 2500 N-s.)</t>
  </si>
  <si>
    <t>0.040 to 8 kg.  (0.10 to 18 lb.)</t>
  </si>
  <si>
    <t>A</t>
  </si>
  <si>
    <t>Introduction revised for clarity; applicable range expanded; title changed.</t>
  </si>
  <si>
    <r>
      <t xml:space="preserve">Minor alteration in calculation routine for </t>
    </r>
    <r>
      <rPr>
        <i/>
        <sz val="10"/>
        <rFont val="Arial"/>
        <family val="2"/>
      </rPr>
      <t>N</t>
    </r>
    <r>
      <rPr>
        <sz val="10"/>
        <rFont val="Arial"/>
      </rPr>
      <t>.</t>
    </r>
  </si>
  <si>
    <r>
      <t xml:space="preserve">Range of classes in table reduced to </t>
    </r>
    <r>
      <rPr>
        <i/>
        <sz val="10"/>
        <rFont val="Arial"/>
        <family val="2"/>
      </rPr>
      <t>A through K.</t>
    </r>
  </si>
  <si>
    <t>Simplified Method for Estimating the Flight Performance of a Hobby Rocket</t>
  </si>
  <si>
    <r>
      <t xml:space="preserve">The spreadsheet  predicts: </t>
    </r>
    <r>
      <rPr>
        <b/>
        <sz val="10"/>
        <color indexed="10"/>
        <rFont val="Arial"/>
        <family val="2"/>
      </rPr>
      <t>peak altitude, maximum velocity, acceleration, burnout altitude</t>
    </r>
    <r>
      <rPr>
        <sz val="10"/>
        <color indexed="10"/>
        <rFont val="Arial"/>
        <family val="2"/>
      </rPr>
      <t xml:space="preserve">, </t>
    </r>
    <r>
      <rPr>
        <sz val="10"/>
        <rFont val="Arial"/>
        <family val="2"/>
      </rPr>
      <t>and</t>
    </r>
    <r>
      <rPr>
        <sz val="10"/>
        <color indexed="10"/>
        <rFont val="Arial"/>
        <family val="2"/>
      </rPr>
      <t xml:space="preserve"> </t>
    </r>
  </si>
  <si>
    <r>
      <t>time duration from liftoff to peak altitude</t>
    </r>
    <r>
      <rPr>
        <b/>
        <sz val="10"/>
        <rFont val="Arial"/>
        <family val="2"/>
      </rPr>
      <t>.</t>
    </r>
  </si>
  <si>
    <t>RIB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</si>
</sst>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0.000"/>
    <numFmt numFmtId="165" formatCode="0.0"/>
    <numFmt numFmtId="166" formatCode="_-* #,##0.0_-;\-* #,##0.0_-;_-* &quot;-&quot;??_-;_-@_-"/>
    <numFmt numFmtId="167" formatCode="_-* #,##0_-;\-* #,##0_-;_-* &quot;-&quot;??_-;_-@_-"/>
  </numFmts>
  <fonts count="49">
    <font>
      <sz val="10"/>
      <name val="Arial"/>
    </font>
    <font>
      <sz val="10"/>
      <name val="Arial"/>
    </font>
    <font>
      <i/>
      <sz val="10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i/>
      <sz val="10"/>
      <color indexed="10"/>
      <name val="Arial"/>
      <family val="2"/>
    </font>
    <font>
      <i/>
      <u/>
      <sz val="10"/>
      <color indexed="10"/>
      <name val="Arial"/>
      <family val="2"/>
    </font>
    <font>
      <b/>
      <i/>
      <sz val="10"/>
      <color indexed="12"/>
      <name val="Arial"/>
      <family val="2"/>
    </font>
    <font>
      <sz val="8"/>
      <color indexed="81"/>
      <name val="Tahoma"/>
    </font>
    <font>
      <b/>
      <sz val="8"/>
      <color indexed="81"/>
      <name val="Tahoma"/>
    </font>
    <font>
      <b/>
      <sz val="8"/>
      <name val="Arial"/>
      <family val="2"/>
    </font>
    <font>
      <sz val="10"/>
      <color indexed="20"/>
      <name val="Arial"/>
      <family val="2"/>
    </font>
    <font>
      <b/>
      <sz val="10"/>
      <color indexed="20"/>
      <name val="Arial"/>
      <family val="2"/>
    </font>
    <font>
      <sz val="10"/>
      <color indexed="23"/>
      <name val="Arial"/>
      <family val="2"/>
    </font>
    <font>
      <sz val="10"/>
      <color indexed="12"/>
      <name val="Arial"/>
      <family val="2"/>
    </font>
    <font>
      <i/>
      <sz val="10"/>
      <color indexed="23"/>
      <name val="Arial"/>
      <family val="2"/>
    </font>
    <font>
      <sz val="10"/>
      <name val="Arial"/>
    </font>
    <font>
      <sz val="10"/>
      <name val="Times New Roman"/>
      <family val="1"/>
    </font>
    <font>
      <b/>
      <sz val="11"/>
      <color indexed="63"/>
      <name val="Arial"/>
      <family val="2"/>
    </font>
    <font>
      <sz val="10"/>
      <color indexed="63"/>
      <name val="Arial"/>
    </font>
    <font>
      <sz val="11"/>
      <color indexed="63"/>
      <name val="Arial"/>
      <family val="2"/>
    </font>
    <font>
      <b/>
      <sz val="11"/>
      <color indexed="63"/>
      <name val="motorclass"/>
    </font>
    <font>
      <sz val="10"/>
      <color indexed="9"/>
      <name val="Arial"/>
      <family val="2"/>
    </font>
    <font>
      <sz val="10"/>
      <name val="Arial"/>
      <family val="2"/>
    </font>
    <font>
      <b/>
      <sz val="12"/>
      <color indexed="2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0"/>
      <color indexed="60"/>
      <name val="Arial"/>
      <family val="2"/>
    </font>
    <font>
      <i/>
      <sz val="8"/>
      <name val="Arial"/>
      <family val="2"/>
    </font>
    <font>
      <sz val="9"/>
      <color indexed="63"/>
      <name val="Arial"/>
      <family val="2"/>
    </font>
    <font>
      <i/>
      <sz val="9"/>
      <color indexed="63"/>
      <name val="Arial"/>
      <family val="2"/>
    </font>
    <font>
      <i/>
      <sz val="10"/>
      <color indexed="62"/>
      <name val="Arial"/>
      <family val="2"/>
    </font>
    <font>
      <sz val="10"/>
      <color indexed="62"/>
      <name val="Arial"/>
      <family val="2"/>
    </font>
    <font>
      <sz val="10"/>
      <color indexed="22"/>
      <name val="Arial"/>
    </font>
    <font>
      <b/>
      <sz val="15"/>
      <color indexed="10"/>
      <name val="Arial"/>
      <family val="2"/>
    </font>
    <font>
      <b/>
      <sz val="10"/>
      <color indexed="22"/>
      <name val="Arial"/>
    </font>
    <font>
      <sz val="9"/>
      <color indexed="10"/>
      <name val="Arial"/>
      <family val="2"/>
    </font>
    <font>
      <b/>
      <sz val="10"/>
      <color indexed="9"/>
      <name val="Arial"/>
      <family val="2"/>
    </font>
    <font>
      <i/>
      <sz val="9"/>
      <color indexed="10"/>
      <name val="Arial"/>
      <family val="2"/>
    </font>
    <font>
      <sz val="10"/>
      <color indexed="56"/>
      <name val="Arial"/>
      <family val="2"/>
    </font>
    <font>
      <sz val="8"/>
      <color indexed="56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16"/>
      <color indexed="20"/>
      <name val="Arial"/>
      <family val="2"/>
    </font>
    <font>
      <b/>
      <i/>
      <sz val="10"/>
      <color indexed="62"/>
      <name val="Arial"/>
      <family val="2"/>
    </font>
    <font>
      <b/>
      <sz val="8"/>
      <color indexed="81"/>
      <name val="Tahoma"/>
      <family val="2"/>
    </font>
    <font>
      <b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8"/>
      </right>
      <top/>
      <bottom/>
      <diagonal/>
    </border>
    <border>
      <left style="thick">
        <color indexed="8"/>
      </left>
      <right style="thin">
        <color indexed="64"/>
      </right>
      <top/>
      <bottom style="double">
        <color indexed="64"/>
      </bottom>
      <diagonal/>
    </border>
    <border>
      <left style="thick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8"/>
      </left>
      <right style="thin">
        <color indexed="64"/>
      </right>
      <top style="thin">
        <color indexed="64"/>
      </top>
      <bottom style="thick">
        <color indexed="8"/>
      </bottom>
      <diagonal/>
    </border>
    <border>
      <left/>
      <right/>
      <top style="thin">
        <color indexed="64"/>
      </top>
      <bottom style="thick">
        <color indexed="8"/>
      </bottom>
      <diagonal/>
    </border>
    <border>
      <left/>
      <right style="medium">
        <color indexed="64"/>
      </right>
      <top style="thin">
        <color indexed="64"/>
      </top>
      <bottom style="thick">
        <color indexed="8"/>
      </bottom>
      <diagonal/>
    </border>
    <border>
      <left/>
      <right style="thick">
        <color indexed="8"/>
      </right>
      <top/>
      <bottom style="thick">
        <color indexed="8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8"/>
      </left>
      <right style="thin">
        <color indexed="64"/>
      </right>
      <top/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/>
      <top style="thin">
        <color indexed="64"/>
      </top>
      <bottom style="thick">
        <color indexed="8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ck">
        <color indexed="8"/>
      </left>
      <right/>
      <top style="thick">
        <color indexed="8"/>
      </top>
      <bottom style="medium">
        <color indexed="8"/>
      </bottom>
      <diagonal/>
    </border>
    <border>
      <left/>
      <right/>
      <top style="thick">
        <color indexed="8"/>
      </top>
      <bottom style="medium">
        <color indexed="8"/>
      </bottom>
      <diagonal/>
    </border>
    <border>
      <left/>
      <right style="thick">
        <color indexed="8"/>
      </right>
      <top style="thick">
        <color indexed="8"/>
      </top>
      <bottom style="medium">
        <color indexed="8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85">
    <xf numFmtId="0" fontId="0" fillId="0" borderId="0" xfId="0"/>
    <xf numFmtId="0" fontId="0" fillId="0" borderId="0" xfId="0" quotePrefix="1" applyAlignment="1">
      <alignment horizontal="left"/>
    </xf>
    <xf numFmtId="0" fontId="0" fillId="0" borderId="0" xfId="0" applyBorder="1"/>
    <xf numFmtId="0" fontId="6" fillId="2" borderId="1" xfId="0" applyFont="1" applyFill="1" applyBorder="1" applyProtection="1">
      <protection locked="0"/>
    </xf>
    <xf numFmtId="164" fontId="6" fillId="2" borderId="1" xfId="0" applyNumberFormat="1" applyFont="1" applyFill="1" applyBorder="1" applyProtection="1">
      <protection locked="0"/>
    </xf>
    <xf numFmtId="0" fontId="6" fillId="2" borderId="2" xfId="0" applyFont="1" applyFill="1" applyBorder="1" applyProtection="1">
      <protection locked="0"/>
    </xf>
    <xf numFmtId="0" fontId="16" fillId="2" borderId="3" xfId="0" applyFont="1" applyFill="1" applyBorder="1"/>
    <xf numFmtId="0" fontId="16" fillId="2" borderId="4" xfId="0" applyFont="1" applyFill="1" applyBorder="1"/>
    <xf numFmtId="0" fontId="16" fillId="2" borderId="5" xfId="0" applyFont="1" applyFill="1" applyBorder="1" applyProtection="1">
      <protection locked="0"/>
    </xf>
    <xf numFmtId="0" fontId="18" fillId="0" borderId="0" xfId="0" applyFont="1"/>
    <xf numFmtId="0" fontId="22" fillId="2" borderId="5" xfId="0" applyFont="1" applyFill="1" applyBorder="1" applyAlignment="1">
      <alignment horizontal="right"/>
    </xf>
    <xf numFmtId="0" fontId="22" fillId="2" borderId="3" xfId="0" applyFont="1" applyFill="1" applyBorder="1" applyAlignment="1">
      <alignment horizontal="center"/>
    </xf>
    <xf numFmtId="0" fontId="22" fillId="2" borderId="6" xfId="0" applyFont="1" applyFill="1" applyBorder="1" applyAlignment="1">
      <alignment horizontal="left"/>
    </xf>
    <xf numFmtId="0" fontId="21" fillId="2" borderId="7" xfId="0" applyFont="1" applyFill="1" applyBorder="1"/>
    <xf numFmtId="0" fontId="22" fillId="2" borderId="8" xfId="0" applyFont="1" applyFill="1" applyBorder="1" applyAlignment="1">
      <alignment horizontal="right"/>
    </xf>
    <xf numFmtId="0" fontId="24" fillId="2" borderId="7" xfId="0" applyFont="1" applyFill="1" applyBorder="1"/>
    <xf numFmtId="0" fontId="23" fillId="2" borderId="9" xfId="0" applyFont="1" applyFill="1" applyBorder="1" applyAlignment="1">
      <alignment horizontal="center"/>
    </xf>
    <xf numFmtId="0" fontId="23" fillId="2" borderId="10" xfId="0" applyFont="1" applyFill="1" applyBorder="1" applyAlignment="1">
      <alignment horizontal="center"/>
    </xf>
    <xf numFmtId="0" fontId="22" fillId="2" borderId="11" xfId="0" applyFont="1" applyFill="1" applyBorder="1" applyAlignment="1">
      <alignment horizontal="center"/>
    </xf>
    <xf numFmtId="0" fontId="22" fillId="2" borderId="12" xfId="0" applyFont="1" applyFill="1" applyBorder="1" applyAlignment="1">
      <alignment horizontal="left"/>
    </xf>
    <xf numFmtId="0" fontId="24" fillId="2" borderId="13" xfId="0" applyFont="1" applyFill="1" applyBorder="1"/>
    <xf numFmtId="0" fontId="0" fillId="0" borderId="14" xfId="0" applyBorder="1"/>
    <xf numFmtId="0" fontId="0" fillId="0" borderId="15" xfId="0" applyBorder="1"/>
    <xf numFmtId="0" fontId="0" fillId="0" borderId="0" xfId="0" applyBorder="1" applyAlignment="1">
      <alignment horizontal="center"/>
    </xf>
    <xf numFmtId="0" fontId="2" fillId="0" borderId="0" xfId="0" applyFont="1"/>
    <xf numFmtId="0" fontId="26" fillId="0" borderId="0" xfId="0" applyFont="1" applyAlignment="1">
      <alignment horizontal="left"/>
    </xf>
    <xf numFmtId="0" fontId="0" fillId="2" borderId="0" xfId="0" applyFill="1"/>
    <xf numFmtId="0" fontId="0" fillId="2" borderId="0" xfId="0" quotePrefix="1" applyFill="1" applyAlignment="1">
      <alignment horizontal="left"/>
    </xf>
    <xf numFmtId="0" fontId="15" fillId="2" borderId="16" xfId="0" applyFont="1" applyFill="1" applyBorder="1"/>
    <xf numFmtId="0" fontId="15" fillId="2" borderId="17" xfId="0" applyFont="1" applyFill="1" applyBorder="1"/>
    <xf numFmtId="0" fontId="15" fillId="2" borderId="18" xfId="0" applyFont="1" applyFill="1" applyBorder="1" applyAlignment="1">
      <alignment horizontal="right"/>
    </xf>
    <xf numFmtId="165" fontId="15" fillId="2" borderId="0" xfId="0" applyNumberFormat="1" applyFont="1" applyFill="1" applyBorder="1" applyAlignment="1">
      <alignment horizontal="left"/>
    </xf>
    <xf numFmtId="0" fontId="15" fillId="2" borderId="19" xfId="0" applyFont="1" applyFill="1" applyBorder="1"/>
    <xf numFmtId="0" fontId="8" fillId="2" borderId="0" xfId="0" quotePrefix="1" applyFont="1" applyFill="1" applyAlignment="1">
      <alignment horizontal="left"/>
    </xf>
    <xf numFmtId="0" fontId="15" fillId="2" borderId="20" xfId="0" applyFont="1" applyFill="1" applyBorder="1" applyAlignment="1">
      <alignment horizontal="right"/>
    </xf>
    <xf numFmtId="0" fontId="15" fillId="2" borderId="21" xfId="0" applyFont="1" applyFill="1" applyBorder="1"/>
    <xf numFmtId="0" fontId="15" fillId="2" borderId="22" xfId="0" applyFont="1" applyFill="1" applyBorder="1"/>
    <xf numFmtId="0" fontId="0" fillId="2" borderId="23" xfId="0" applyFill="1" applyBorder="1"/>
    <xf numFmtId="0" fontId="0" fillId="2" borderId="14" xfId="0" applyFill="1" applyBorder="1" applyAlignment="1">
      <alignment horizontal="right"/>
    </xf>
    <xf numFmtId="0" fontId="0" fillId="2" borderId="14" xfId="0" applyFill="1" applyBorder="1"/>
    <xf numFmtId="0" fontId="0" fillId="2" borderId="15" xfId="0" applyFill="1" applyBorder="1"/>
    <xf numFmtId="0" fontId="0" fillId="2" borderId="0" xfId="0" applyFill="1" applyBorder="1" applyAlignment="1">
      <alignment horizontal="right"/>
    </xf>
    <xf numFmtId="0" fontId="0" fillId="2" borderId="0" xfId="0" applyFill="1" applyBorder="1"/>
    <xf numFmtId="0" fontId="0" fillId="2" borderId="24" xfId="0" applyFill="1" applyBorder="1"/>
    <xf numFmtId="0" fontId="0" fillId="2" borderId="0" xfId="0" quotePrefix="1" applyFill="1" applyBorder="1" applyAlignment="1">
      <alignment horizontal="right"/>
    </xf>
    <xf numFmtId="0" fontId="5" fillId="2" borderId="0" xfId="0" applyFont="1" applyFill="1" applyBorder="1"/>
    <xf numFmtId="0" fontId="0" fillId="2" borderId="25" xfId="0" applyFill="1" applyBorder="1"/>
    <xf numFmtId="0" fontId="0" fillId="2" borderId="26" xfId="0" applyFill="1" applyBorder="1" applyAlignment="1">
      <alignment horizontal="right"/>
    </xf>
    <xf numFmtId="0" fontId="0" fillId="2" borderId="26" xfId="0" applyFill="1" applyBorder="1"/>
    <xf numFmtId="0" fontId="0" fillId="2" borderId="27" xfId="0" applyFill="1" applyBorder="1"/>
    <xf numFmtId="164" fontId="0" fillId="2" borderId="14" xfId="0" applyNumberFormat="1" applyFill="1" applyBorder="1" applyAlignment="1">
      <alignment horizontal="right"/>
    </xf>
    <xf numFmtId="0" fontId="0" fillId="2" borderId="28" xfId="0" applyFill="1" applyBorder="1"/>
    <xf numFmtId="164" fontId="19" fillId="2" borderId="0" xfId="0" applyNumberFormat="1" applyFont="1" applyFill="1" applyBorder="1" applyAlignment="1">
      <alignment horizontal="center"/>
    </xf>
    <xf numFmtId="164" fontId="0" fillId="2" borderId="0" xfId="0" applyNumberFormat="1" applyFill="1" applyBorder="1"/>
    <xf numFmtId="0" fontId="5" fillId="2" borderId="0" xfId="0" quotePrefix="1" applyFont="1" applyFill="1" applyBorder="1" applyAlignment="1">
      <alignment horizontal="right"/>
    </xf>
    <xf numFmtId="0" fontId="5" fillId="2" borderId="0" xfId="0" applyFont="1" applyFill="1" applyBorder="1" applyAlignment="1">
      <alignment horizontal="right"/>
    </xf>
    <xf numFmtId="1" fontId="5" fillId="2" borderId="0" xfId="0" applyNumberFormat="1" applyFont="1" applyFill="1" applyBorder="1"/>
    <xf numFmtId="0" fontId="25" fillId="2" borderId="0" xfId="0" quotePrefix="1" applyFont="1" applyFill="1" applyBorder="1" applyAlignment="1">
      <alignment horizontal="left"/>
    </xf>
    <xf numFmtId="0" fontId="5" fillId="2" borderId="26" xfId="0" applyFont="1" applyFill="1" applyBorder="1" applyAlignment="1">
      <alignment horizontal="right"/>
    </xf>
    <xf numFmtId="165" fontId="5" fillId="2" borderId="26" xfId="0" applyNumberFormat="1" applyFont="1" applyFill="1" applyBorder="1"/>
    <xf numFmtId="0" fontId="25" fillId="2" borderId="26" xfId="0" applyFont="1" applyFill="1" applyBorder="1"/>
    <xf numFmtId="1" fontId="0" fillId="2" borderId="14" xfId="0" applyNumberFormat="1" applyFill="1" applyBorder="1"/>
    <xf numFmtId="165" fontId="0" fillId="2" borderId="0" xfId="0" applyNumberFormat="1" applyFill="1" applyBorder="1"/>
    <xf numFmtId="0" fontId="5" fillId="2" borderId="0" xfId="0" quotePrefix="1" applyFont="1" applyFill="1" applyBorder="1" applyAlignment="1">
      <alignment horizontal="left"/>
    </xf>
    <xf numFmtId="1" fontId="0" fillId="2" borderId="0" xfId="0" applyNumberFormat="1" applyFill="1" applyBorder="1"/>
    <xf numFmtId="0" fontId="0" fillId="2" borderId="0" xfId="0" applyFill="1" applyBorder="1" applyAlignment="1">
      <alignment horizontal="left"/>
    </xf>
    <xf numFmtId="1" fontId="0" fillId="2" borderId="26" xfId="0" applyNumberFormat="1" applyFill="1" applyBorder="1"/>
    <xf numFmtId="164" fontId="0" fillId="2" borderId="0" xfId="0" quotePrefix="1" applyNumberFormat="1" applyFill="1" applyBorder="1" applyAlignment="1">
      <alignment horizontal="right"/>
    </xf>
    <xf numFmtId="0" fontId="0" fillId="2" borderId="0" xfId="0" applyFill="1" applyBorder="1" applyAlignment="1">
      <alignment horizontal="center"/>
    </xf>
    <xf numFmtId="0" fontId="0" fillId="2" borderId="26" xfId="0" quotePrefix="1" applyFill="1" applyBorder="1" applyAlignment="1">
      <alignment horizontal="right"/>
    </xf>
    <xf numFmtId="164" fontId="0" fillId="2" borderId="26" xfId="0" quotePrefix="1" applyNumberFormat="1" applyFill="1" applyBorder="1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164" fontId="0" fillId="2" borderId="0" xfId="0" quotePrefix="1" applyNumberFormat="1" applyFill="1" applyAlignment="1">
      <alignment horizontal="right"/>
    </xf>
    <xf numFmtId="0" fontId="0" fillId="2" borderId="3" xfId="0" applyFill="1" applyBorder="1"/>
    <xf numFmtId="0" fontId="5" fillId="2" borderId="23" xfId="0" applyFont="1" applyFill="1" applyBorder="1"/>
    <xf numFmtId="0" fontId="5" fillId="2" borderId="14" xfId="0" quotePrefix="1" applyFont="1" applyFill="1" applyBorder="1" applyAlignment="1">
      <alignment horizontal="right"/>
    </xf>
    <xf numFmtId="1" fontId="5" fillId="2" borderId="14" xfId="0" applyNumberFormat="1" applyFont="1" applyFill="1" applyBorder="1"/>
    <xf numFmtId="0" fontId="25" fillId="2" borderId="14" xfId="0" applyFont="1" applyFill="1" applyBorder="1"/>
    <xf numFmtId="0" fontId="5" fillId="2" borderId="15" xfId="0" applyFont="1" applyFill="1" applyBorder="1"/>
    <xf numFmtId="165" fontId="5" fillId="2" borderId="0" xfId="0" applyNumberFormat="1" applyFont="1" applyFill="1" applyBorder="1"/>
    <xf numFmtId="0" fontId="25" fillId="2" borderId="0" xfId="0" applyFont="1" applyFill="1" applyBorder="1"/>
    <xf numFmtId="0" fontId="5" fillId="2" borderId="0" xfId="0" applyFont="1" applyFill="1" applyBorder="1" applyAlignment="1">
      <alignment horizontal="left"/>
    </xf>
    <xf numFmtId="0" fontId="5" fillId="2" borderId="26" xfId="0" quotePrefix="1" applyFont="1" applyFill="1" applyBorder="1" applyAlignment="1">
      <alignment horizontal="right"/>
    </xf>
    <xf numFmtId="1" fontId="5" fillId="2" borderId="26" xfId="0" applyNumberFormat="1" applyFont="1" applyFill="1" applyBorder="1"/>
    <xf numFmtId="0" fontId="13" fillId="2" borderId="0" xfId="0" applyFont="1" applyFill="1"/>
    <xf numFmtId="0" fontId="0" fillId="2" borderId="0" xfId="0" quotePrefix="1" applyFill="1" applyBorder="1" applyAlignment="1">
      <alignment horizontal="left"/>
    </xf>
    <xf numFmtId="0" fontId="22" fillId="2" borderId="29" xfId="0" applyFont="1" applyFill="1" applyBorder="1" applyAlignment="1">
      <alignment horizontal="center"/>
    </xf>
    <xf numFmtId="17" fontId="0" fillId="0" borderId="14" xfId="0" applyNumberFormat="1" applyBorder="1"/>
    <xf numFmtId="0" fontId="0" fillId="0" borderId="14" xfId="0" applyBorder="1" applyAlignment="1">
      <alignment horizontal="center"/>
    </xf>
    <xf numFmtId="0" fontId="0" fillId="0" borderId="0" xfId="0" quotePrefix="1" applyBorder="1"/>
    <xf numFmtId="17" fontId="0" fillId="0" borderId="0" xfId="0" applyNumberFormat="1" applyBorder="1"/>
    <xf numFmtId="0" fontId="0" fillId="0" borderId="0" xfId="0" applyFill="1"/>
    <xf numFmtId="0" fontId="16" fillId="0" borderId="0" xfId="0" quotePrefix="1" applyFont="1"/>
    <xf numFmtId="0" fontId="25" fillId="0" borderId="0" xfId="0" applyFont="1"/>
    <xf numFmtId="0" fontId="28" fillId="0" borderId="0" xfId="0" applyFont="1"/>
    <xf numFmtId="0" fontId="2" fillId="0" borderId="0" xfId="0" quotePrefix="1" applyFont="1" applyAlignment="1">
      <alignment horizontal="left"/>
    </xf>
    <xf numFmtId="0" fontId="0" fillId="0" borderId="0" xfId="0" applyAlignment="1">
      <alignment horizontal="left"/>
    </xf>
    <xf numFmtId="0" fontId="15" fillId="2" borderId="30" xfId="0" quotePrefix="1" applyFont="1" applyFill="1" applyBorder="1" applyAlignment="1">
      <alignment horizontal="right"/>
    </xf>
    <xf numFmtId="0" fontId="15" fillId="2" borderId="0" xfId="0" applyFont="1" applyFill="1" applyBorder="1"/>
    <xf numFmtId="0" fontId="17" fillId="2" borderId="0" xfId="0" applyFont="1" applyFill="1" applyBorder="1"/>
    <xf numFmtId="0" fontId="31" fillId="2" borderId="14" xfId="0" applyFont="1" applyFill="1" applyBorder="1"/>
    <xf numFmtId="0" fontId="3" fillId="2" borderId="26" xfId="0" applyFont="1" applyFill="1" applyBorder="1" applyAlignment="1">
      <alignment horizontal="right"/>
    </xf>
    <xf numFmtId="0" fontId="3" fillId="2" borderId="0" xfId="0" quotePrefix="1" applyFont="1" applyFill="1" applyBorder="1" applyAlignment="1">
      <alignment horizontal="right"/>
    </xf>
    <xf numFmtId="0" fontId="13" fillId="0" borderId="0" xfId="0" applyFont="1"/>
    <xf numFmtId="0" fontId="0" fillId="0" borderId="26" xfId="0" applyBorder="1"/>
    <xf numFmtId="0" fontId="25" fillId="0" borderId="0" xfId="0" applyFont="1" applyFill="1"/>
    <xf numFmtId="0" fontId="0" fillId="0" borderId="0" xfId="0" applyFill="1" applyBorder="1"/>
    <xf numFmtId="0" fontId="23" fillId="0" borderId="0" xfId="0" applyFont="1" applyFill="1" applyBorder="1" applyAlignment="1">
      <alignment horizontal="center"/>
    </xf>
    <xf numFmtId="0" fontId="22" fillId="0" borderId="0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center"/>
    </xf>
    <xf numFmtId="0" fontId="22" fillId="0" borderId="0" xfId="0" applyFont="1" applyFill="1" applyBorder="1" applyAlignment="1">
      <alignment horizontal="left"/>
    </xf>
    <xf numFmtId="0" fontId="24" fillId="0" borderId="0" xfId="0" applyFont="1" applyFill="1" applyBorder="1"/>
    <xf numFmtId="0" fontId="33" fillId="0" borderId="0" xfId="0" applyFont="1" applyFill="1"/>
    <xf numFmtId="0" fontId="34" fillId="0" borderId="0" xfId="0" applyFont="1" applyFill="1"/>
    <xf numFmtId="0" fontId="28" fillId="2" borderId="14" xfId="0" applyFont="1" applyFill="1" applyBorder="1"/>
    <xf numFmtId="43" fontId="35" fillId="0" borderId="31" xfId="0" applyNumberFormat="1" applyFont="1" applyFill="1" applyBorder="1" applyProtection="1">
      <protection locked="0"/>
    </xf>
    <xf numFmtId="167" fontId="35" fillId="0" borderId="31" xfId="1" applyNumberFormat="1" applyFont="1" applyFill="1" applyBorder="1"/>
    <xf numFmtId="0" fontId="36" fillId="0" borderId="0" xfId="0" applyFont="1" applyBorder="1" applyAlignment="1">
      <alignment vertical="center"/>
    </xf>
    <xf numFmtId="0" fontId="37" fillId="0" borderId="31" xfId="0" applyFont="1" applyFill="1" applyBorder="1" applyAlignment="1">
      <alignment horizontal="center"/>
    </xf>
    <xf numFmtId="0" fontId="35" fillId="0" borderId="0" xfId="0" applyFont="1" applyBorder="1" applyAlignment="1">
      <alignment horizontal="center"/>
    </xf>
    <xf numFmtId="0" fontId="0" fillId="0" borderId="0" xfId="0" applyBorder="1" applyAlignment="1">
      <alignment horizontal="right"/>
    </xf>
    <xf numFmtId="0" fontId="38" fillId="0" borderId="0" xfId="0" applyFont="1" applyBorder="1" applyAlignment="1">
      <alignment vertical="center"/>
    </xf>
    <xf numFmtId="43" fontId="35" fillId="0" borderId="31" xfId="1" applyNumberFormat="1" applyFont="1" applyFill="1" applyBorder="1"/>
    <xf numFmtId="167" fontId="35" fillId="0" borderId="31" xfId="1" applyNumberFormat="1" applyFont="1" applyFill="1" applyBorder="1" applyProtection="1">
      <protection locked="0"/>
    </xf>
    <xf numFmtId="166" fontId="39" fillId="0" borderId="0" xfId="0" applyNumberFormat="1" applyFont="1" applyBorder="1" applyAlignment="1">
      <alignment horizontal="center"/>
    </xf>
    <xf numFmtId="43" fontId="1" fillId="0" borderId="0" xfId="1" applyFill="1" applyBorder="1"/>
    <xf numFmtId="0" fontId="5" fillId="0" borderId="0" xfId="0" applyFont="1" applyBorder="1" applyAlignment="1">
      <alignment horizontal="center"/>
    </xf>
    <xf numFmtId="43" fontId="6" fillId="0" borderId="32" xfId="1" applyFont="1" applyFill="1" applyBorder="1" applyProtection="1">
      <protection locked="0"/>
    </xf>
    <xf numFmtId="165" fontId="31" fillId="0" borderId="0" xfId="0" applyNumberFormat="1" applyFont="1" applyBorder="1" applyAlignment="1">
      <alignment horizontal="left"/>
    </xf>
    <xf numFmtId="0" fontId="40" fillId="0" borderId="0" xfId="0" applyFont="1" applyBorder="1"/>
    <xf numFmtId="0" fontId="14" fillId="0" borderId="0" xfId="0" applyFont="1" applyBorder="1" applyAlignment="1">
      <alignment horizontal="right"/>
    </xf>
    <xf numFmtId="43" fontId="14" fillId="0" borderId="0" xfId="0" applyNumberFormat="1" applyFont="1" applyBorder="1"/>
    <xf numFmtId="0" fontId="14" fillId="0" borderId="0" xfId="0" applyFont="1" applyFill="1" applyBorder="1"/>
    <xf numFmtId="0" fontId="13" fillId="0" borderId="0" xfId="0" applyFont="1" applyBorder="1" applyAlignment="1">
      <alignment horizontal="right"/>
    </xf>
    <xf numFmtId="167" fontId="13" fillId="0" borderId="0" xfId="0" applyNumberFormat="1" applyFont="1" applyBorder="1"/>
    <xf numFmtId="0" fontId="13" fillId="0" borderId="0" xfId="0" applyFont="1" applyFill="1" applyBorder="1"/>
    <xf numFmtId="0" fontId="41" fillId="0" borderId="0" xfId="0" applyFont="1"/>
    <xf numFmtId="17" fontId="31" fillId="0" borderId="0" xfId="0" applyNumberFormat="1" applyFont="1" applyBorder="1" applyAlignment="1">
      <alignment horizontal="left"/>
    </xf>
    <xf numFmtId="0" fontId="43" fillId="0" borderId="0" xfId="0" applyFont="1" applyFill="1" applyBorder="1"/>
    <xf numFmtId="0" fontId="0" fillId="0" borderId="0" xfId="0" applyAlignment="1">
      <alignment horizontal="center"/>
    </xf>
    <xf numFmtId="2" fontId="0" fillId="0" borderId="5" xfId="0" applyNumberFormat="1" applyBorder="1"/>
    <xf numFmtId="17" fontId="0" fillId="0" borderId="3" xfId="0" applyNumberFormat="1" applyBorder="1"/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165" fontId="0" fillId="0" borderId="23" xfId="0" applyNumberFormat="1" applyBorder="1"/>
    <xf numFmtId="0" fontId="0" fillId="0" borderId="14" xfId="0" applyFill="1" applyBorder="1"/>
    <xf numFmtId="0" fontId="0" fillId="0" borderId="28" xfId="0" applyBorder="1"/>
    <xf numFmtId="0" fontId="0" fillId="0" borderId="24" xfId="0" applyBorder="1"/>
    <xf numFmtId="0" fontId="0" fillId="0" borderId="25" xfId="0" applyBorder="1"/>
    <xf numFmtId="0" fontId="0" fillId="0" borderId="26" xfId="0" applyBorder="1" applyAlignment="1">
      <alignment horizontal="center"/>
    </xf>
    <xf numFmtId="0" fontId="0" fillId="0" borderId="26" xfId="0" applyFill="1" applyBorder="1"/>
    <xf numFmtId="0" fontId="0" fillId="0" borderId="27" xfId="0" applyBorder="1"/>
    <xf numFmtId="0" fontId="0" fillId="0" borderId="23" xfId="0" applyBorder="1"/>
    <xf numFmtId="0" fontId="5" fillId="0" borderId="14" xfId="0" applyFont="1" applyBorder="1"/>
    <xf numFmtId="0" fontId="5" fillId="0" borderId="25" xfId="0" applyFont="1" applyBorder="1" applyAlignment="1">
      <alignment horizontal="right"/>
    </xf>
    <xf numFmtId="0" fontId="5" fillId="0" borderId="26" xfId="0" applyFont="1" applyBorder="1" applyAlignment="1">
      <alignment horizontal="right"/>
    </xf>
    <xf numFmtId="0" fontId="5" fillId="0" borderId="26" xfId="0" applyFont="1" applyBorder="1" applyAlignment="1">
      <alignment horizontal="center"/>
    </xf>
    <xf numFmtId="0" fontId="45" fillId="0" borderId="0" xfId="0" applyFont="1"/>
    <xf numFmtId="1" fontId="22" fillId="2" borderId="5" xfId="0" applyNumberFormat="1" applyFont="1" applyFill="1" applyBorder="1" applyAlignment="1">
      <alignment horizontal="right"/>
    </xf>
    <xf numFmtId="1" fontId="22" fillId="2" borderId="33" xfId="0" applyNumberFormat="1" applyFont="1" applyFill="1" applyBorder="1" applyAlignment="1">
      <alignment horizontal="right"/>
    </xf>
    <xf numFmtId="0" fontId="31" fillId="0" borderId="0" xfId="0" applyFont="1" applyBorder="1" applyAlignment="1">
      <alignment horizontal="left"/>
    </xf>
    <xf numFmtId="0" fontId="31" fillId="0" borderId="23" xfId="0" applyFont="1" applyBorder="1" applyAlignment="1">
      <alignment horizontal="left"/>
    </xf>
    <xf numFmtId="0" fontId="31" fillId="0" borderId="14" xfId="0" applyFont="1" applyBorder="1" applyAlignment="1">
      <alignment horizontal="left"/>
    </xf>
    <xf numFmtId="0" fontId="31" fillId="0" borderId="15" xfId="0" applyFont="1" applyBorder="1" applyAlignment="1">
      <alignment horizontal="left"/>
    </xf>
    <xf numFmtId="0" fontId="22" fillId="2" borderId="0" xfId="0" applyFont="1" applyFill="1" applyBorder="1" applyAlignment="1">
      <alignment horizontal="center"/>
    </xf>
    <xf numFmtId="1" fontId="25" fillId="2" borderId="14" xfId="0" applyNumberFormat="1" applyFont="1" applyFill="1" applyBorder="1"/>
    <xf numFmtId="0" fontId="22" fillId="2" borderId="15" xfId="0" applyFont="1" applyFill="1" applyBorder="1" applyAlignment="1">
      <alignment horizontal="right"/>
    </xf>
    <xf numFmtId="0" fontId="22" fillId="2" borderId="34" xfId="0" applyFont="1" applyFill="1" applyBorder="1" applyAlignment="1">
      <alignment horizontal="left"/>
    </xf>
    <xf numFmtId="0" fontId="20" fillId="2" borderId="29" xfId="0" applyFont="1" applyFill="1" applyBorder="1" applyAlignment="1">
      <alignment horizontal="center"/>
    </xf>
    <xf numFmtId="0" fontId="28" fillId="0" borderId="0" xfId="0" applyFont="1" applyBorder="1" applyAlignment="1">
      <alignment horizontal="left"/>
    </xf>
    <xf numFmtId="0" fontId="46" fillId="0" borderId="0" xfId="0" applyFont="1" applyBorder="1"/>
    <xf numFmtId="0" fontId="32" fillId="0" borderId="25" xfId="0" applyFont="1" applyBorder="1" applyAlignment="1">
      <alignment horizontal="left"/>
    </xf>
    <xf numFmtId="0" fontId="32" fillId="0" borderId="26" xfId="0" applyFont="1" applyBorder="1" applyAlignment="1">
      <alignment horizontal="left"/>
    </xf>
    <xf numFmtId="0" fontId="22" fillId="2" borderId="15" xfId="0" applyFont="1" applyFill="1" applyBorder="1" applyAlignment="1">
      <alignment horizontal="center"/>
    </xf>
    <xf numFmtId="0" fontId="22" fillId="2" borderId="0" xfId="0" applyFont="1" applyFill="1" applyBorder="1" applyAlignment="1">
      <alignment horizontal="center"/>
    </xf>
    <xf numFmtId="0" fontId="22" fillId="2" borderId="34" xfId="0" applyFont="1" applyFill="1" applyBorder="1" applyAlignment="1">
      <alignment horizontal="center"/>
    </xf>
    <xf numFmtId="0" fontId="22" fillId="2" borderId="35" xfId="0" applyFont="1" applyFill="1" applyBorder="1" applyAlignment="1">
      <alignment horizontal="center"/>
    </xf>
    <xf numFmtId="0" fontId="22" fillId="2" borderId="36" xfId="0" applyFont="1" applyFill="1" applyBorder="1" applyAlignment="1">
      <alignment horizontal="center"/>
    </xf>
    <xf numFmtId="0" fontId="22" fillId="2" borderId="37" xfId="0" applyFont="1" applyFill="1" applyBorder="1" applyAlignment="1">
      <alignment horizontal="center"/>
    </xf>
    <xf numFmtId="0" fontId="20" fillId="2" borderId="38" xfId="0" quotePrefix="1" applyFont="1" applyFill="1" applyBorder="1" applyAlignment="1">
      <alignment horizontal="center"/>
    </xf>
    <xf numFmtId="0" fontId="20" fillId="2" borderId="39" xfId="0" quotePrefix="1" applyFont="1" applyFill="1" applyBorder="1" applyAlignment="1">
      <alignment horizontal="center"/>
    </xf>
    <xf numFmtId="0" fontId="20" fillId="2" borderId="40" xfId="0" quotePrefix="1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075313202317633E-2"/>
          <c:y val="0.12177989429908607"/>
          <c:w val="0.85865271442008617"/>
          <c:h val="0.74473089205979559"/>
        </c:manualLayout>
      </c:layout>
      <c:scatterChart>
        <c:scatterStyle val="smoothMarker"/>
        <c:varyColors val="0"/>
        <c:ser>
          <c:idx val="0"/>
          <c:order val="0"/>
          <c:tx>
            <c:v>ALTURA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'Best Mass'!$A$3:$A$26</c:f>
              <c:numCache>
                <c:formatCode>_(* #,##0.00_);_(* \(#,##0.00\);_(* "-"??_);_(@_)</c:formatCode>
                <c:ptCount val="24"/>
                <c:pt idx="0">
                  <c:v>2.5000000000000001E-2</c:v>
                </c:pt>
                <c:pt idx="1">
                  <c:v>2.8260869565217395E-2</c:v>
                </c:pt>
                <c:pt idx="2">
                  <c:v>3.1521739130434788E-2</c:v>
                </c:pt>
                <c:pt idx="3">
                  <c:v>3.4782608695652181E-2</c:v>
                </c:pt>
                <c:pt idx="4">
                  <c:v>3.8043478260869575E-2</c:v>
                </c:pt>
                <c:pt idx="5">
                  <c:v>4.1304347826086968E-2</c:v>
                </c:pt>
                <c:pt idx="6">
                  <c:v>4.4565217391304361E-2</c:v>
                </c:pt>
                <c:pt idx="7">
                  <c:v>4.7826086956521754E-2</c:v>
                </c:pt>
                <c:pt idx="8">
                  <c:v>5.1086956521739148E-2</c:v>
                </c:pt>
                <c:pt idx="9">
                  <c:v>5.4347826086956541E-2</c:v>
                </c:pt>
                <c:pt idx="10">
                  <c:v>5.7608695652173934E-2</c:v>
                </c:pt>
                <c:pt idx="11">
                  <c:v>6.0869565217391328E-2</c:v>
                </c:pt>
                <c:pt idx="12">
                  <c:v>6.4130434782608714E-2</c:v>
                </c:pt>
                <c:pt idx="13">
                  <c:v>6.73913043478261E-2</c:v>
                </c:pt>
                <c:pt idx="14">
                  <c:v>7.0652173913043487E-2</c:v>
                </c:pt>
                <c:pt idx="15">
                  <c:v>7.3913043478260873E-2</c:v>
                </c:pt>
                <c:pt idx="16">
                  <c:v>7.7173913043478259E-2</c:v>
                </c:pt>
                <c:pt idx="17">
                  <c:v>8.0434782608695646E-2</c:v>
                </c:pt>
                <c:pt idx="18">
                  <c:v>8.3695652173913032E-2</c:v>
                </c:pt>
                <c:pt idx="19">
                  <c:v>8.6956521739130418E-2</c:v>
                </c:pt>
                <c:pt idx="20">
                  <c:v>9.0217391304347805E-2</c:v>
                </c:pt>
                <c:pt idx="21">
                  <c:v>9.3478260869565191E-2</c:v>
                </c:pt>
                <c:pt idx="22">
                  <c:v>9.6739130434782578E-2</c:v>
                </c:pt>
                <c:pt idx="23">
                  <c:v>9.9999999999999964E-2</c:v>
                </c:pt>
              </c:numCache>
            </c:numRef>
          </c:xVal>
          <c:yVal>
            <c:numRef>
              <c:f>'Best Mass'!$B$3:$B$26</c:f>
              <c:numCache>
                <c:formatCode>_-* #,##0_-;\-* #,##0_-;_-* "-"??_-;_-@_-</c:formatCode>
                <c:ptCount val="24"/>
                <c:pt idx="0">
                  <c:v>317.11823878515548</c:v>
                </c:pt>
                <c:pt idx="1">
                  <c:v>349.78104643641126</c:v>
                </c:pt>
                <c:pt idx="2">
                  <c:v>378.01041935032288</c:v>
                </c:pt>
                <c:pt idx="3">
                  <c:v>401.25426794977875</c:v>
                </c:pt>
                <c:pt idx="4">
                  <c:v>419.17108419414654</c:v>
                </c:pt>
                <c:pt idx="5">
                  <c:v>431.65652440680168</c:v>
                </c:pt>
                <c:pt idx="6">
                  <c:v>438.84191427707361</c:v>
                </c:pt>
                <c:pt idx="7">
                  <c:v>441.06679423111387</c:v>
                </c:pt>
                <c:pt idx="8">
                  <c:v>438.83251779312599</c:v>
                </c:pt>
                <c:pt idx="9">
                  <c:v>432.74642786596826</c:v>
                </c:pt>
                <c:pt idx="10">
                  <c:v>423.46597058474549</c:v>
                </c:pt>
                <c:pt idx="11">
                  <c:v>411.64992837143933</c:v>
                </c:pt>
                <c:pt idx="12">
                  <c:v>397.92088418467409</c:v>
                </c:pt>
                <c:pt idx="13">
                  <c:v>382.84010021411814</c:v>
                </c:pt>
                <c:pt idx="14">
                  <c:v>366.89383277695083</c:v>
                </c:pt>
                <c:pt idx="15">
                  <c:v>350.48889155131923</c:v>
                </c:pt>
                <c:pt idx="16">
                  <c:v>333.95485529018725</c:v>
                </c:pt>
                <c:pt idx="17">
                  <c:v>317.55051286586485</c:v>
                </c:pt>
                <c:pt idx="18">
                  <c:v>301.47254137318714</c:v>
                </c:pt>
                <c:pt idx="19">
                  <c:v>285.86496070140078</c:v>
                </c:pt>
                <c:pt idx="20">
                  <c:v>270.82839459595669</c:v>
                </c:pt>
                <c:pt idx="21">
                  <c:v>256.42856562080783</c:v>
                </c:pt>
                <c:pt idx="22">
                  <c:v>242.70374286080278</c:v>
                </c:pt>
                <c:pt idx="23">
                  <c:v>229.67105725686287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76320"/>
        <c:axId val="58126336"/>
      </c:scatterChart>
      <c:valAx>
        <c:axId val="4157632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Mass (kg)</a:t>
                </a:r>
              </a:p>
            </c:rich>
          </c:tx>
          <c:layout>
            <c:manualLayout>
              <c:xMode val="edge"/>
              <c:yMode val="edge"/>
              <c:x val="0.48612953677937182"/>
              <c:y val="0.92037497037578531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.00_);_(* \(#,##0.00\);_(* &quot;-&quot;??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126336"/>
        <c:crosses val="autoZero"/>
        <c:crossBetween val="midCat"/>
      </c:valAx>
      <c:valAx>
        <c:axId val="581263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Altitude (metres)</a:t>
                </a:r>
              </a:p>
            </c:rich>
          </c:tx>
          <c:layout>
            <c:manualLayout>
              <c:xMode val="edge"/>
              <c:yMode val="edge"/>
              <c:x val="9.2470292322163125E-3"/>
              <c:y val="0.35363007767619226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\-* #,##0_-;_-* &quot;-&quot;??_-;_-@_-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5763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563880</xdr:colOff>
          <xdr:row>43</xdr:row>
          <xdr:rowOff>121920</xdr:rowOff>
        </xdr:from>
        <xdr:to>
          <xdr:col>4</xdr:col>
          <xdr:colOff>335280</xdr:colOff>
          <xdr:row>46</xdr:row>
          <xdr:rowOff>91440</xdr:rowOff>
        </xdr:to>
        <xdr:sp macro="" textlink="">
          <xdr:nvSpPr>
            <xdr:cNvPr id="4097" name="Object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6</xdr:row>
      <xdr:rowOff>91440</xdr:rowOff>
    </xdr:from>
    <xdr:to>
      <xdr:col>11</xdr:col>
      <xdr:colOff>563880</xdr:colOff>
      <xdr:row>25</xdr:row>
      <xdr:rowOff>160020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1</xdr:row>
          <xdr:rowOff>45720</xdr:rowOff>
        </xdr:from>
        <xdr:to>
          <xdr:col>7</xdr:col>
          <xdr:colOff>373380</xdr:colOff>
          <xdr:row>3</xdr:row>
          <xdr:rowOff>137160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SOFFICE/EXCEL/BATES3_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s"/>
      <sheetName val="class"/>
      <sheetName val="Perf"/>
      <sheetName val="Press"/>
      <sheetName val="Burnrate"/>
    </sheetNames>
    <sheetDataSet>
      <sheetData sheetId="0" refreshError="1">
        <row r="25">
          <cell r="F25">
            <v>7.8909999999999982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B1:L67"/>
  <sheetViews>
    <sheetView showGridLines="0" zoomScale="90" workbookViewId="0"/>
  </sheetViews>
  <sheetFormatPr defaultRowHeight="13.2"/>
  <cols>
    <col min="1" max="1" width="2.5546875" customWidth="1"/>
    <col min="6" max="6" width="10" customWidth="1"/>
    <col min="7" max="7" width="10.6640625" customWidth="1"/>
  </cols>
  <sheetData>
    <row r="1" spans="2:10" ht="6.75" customHeight="1"/>
    <row r="2" spans="2:10" ht="21">
      <c r="B2" s="160" t="s">
        <v>32</v>
      </c>
    </row>
    <row r="3" spans="2:10" ht="15.6">
      <c r="B3" s="25" t="s">
        <v>153</v>
      </c>
    </row>
    <row r="5" spans="2:10">
      <c r="F5" s="164" t="s">
        <v>88</v>
      </c>
      <c r="G5" s="165" t="s">
        <v>137</v>
      </c>
      <c r="H5" s="165"/>
      <c r="I5" s="21"/>
      <c r="J5" s="149"/>
    </row>
    <row r="6" spans="2:10">
      <c r="F6" s="166" t="s">
        <v>29</v>
      </c>
      <c r="G6" s="129">
        <v>1.2</v>
      </c>
      <c r="H6" s="163"/>
      <c r="I6" s="2"/>
      <c r="J6" s="150"/>
    </row>
    <row r="7" spans="2:10">
      <c r="F7" s="166" t="s">
        <v>30</v>
      </c>
      <c r="G7" s="138" t="s">
        <v>174</v>
      </c>
      <c r="H7" s="163"/>
      <c r="I7" s="2"/>
      <c r="J7" s="150"/>
    </row>
    <row r="8" spans="2:10">
      <c r="F8" s="174" t="s">
        <v>89</v>
      </c>
      <c r="G8" s="175"/>
      <c r="H8" s="175"/>
      <c r="I8" s="105"/>
      <c r="J8" s="154"/>
    </row>
    <row r="9" spans="2:10">
      <c r="F9" s="137" t="s">
        <v>138</v>
      </c>
    </row>
    <row r="11" spans="2:10">
      <c r="B11" t="s">
        <v>143</v>
      </c>
    </row>
    <row r="12" spans="2:10">
      <c r="B12" t="s">
        <v>103</v>
      </c>
    </row>
    <row r="13" spans="2:10">
      <c r="B13" s="93" t="s">
        <v>144</v>
      </c>
    </row>
    <row r="14" spans="2:10">
      <c r="B14" s="93" t="s">
        <v>101</v>
      </c>
    </row>
    <row r="15" spans="2:10">
      <c r="B15" s="93" t="s">
        <v>98</v>
      </c>
    </row>
    <row r="16" spans="2:10">
      <c r="B16" s="93" t="s">
        <v>99</v>
      </c>
    </row>
    <row r="17" spans="2:2">
      <c r="B17" s="93" t="s">
        <v>100</v>
      </c>
    </row>
    <row r="18" spans="2:2">
      <c r="B18" s="93" t="s">
        <v>102</v>
      </c>
    </row>
    <row r="19" spans="2:2">
      <c r="B19" s="93"/>
    </row>
    <row r="20" spans="2:2">
      <c r="B20" s="94" t="s">
        <v>183</v>
      </c>
    </row>
    <row r="21" spans="2:2">
      <c r="B21" s="95" t="s">
        <v>184</v>
      </c>
    </row>
    <row r="22" spans="2:2">
      <c r="B22" t="s">
        <v>120</v>
      </c>
    </row>
    <row r="23" spans="2:2">
      <c r="B23" t="s">
        <v>145</v>
      </c>
    </row>
    <row r="24" spans="2:2">
      <c r="B24" s="1" t="s">
        <v>104</v>
      </c>
    </row>
    <row r="25" spans="2:2">
      <c r="B25" s="1" t="s">
        <v>106</v>
      </c>
    </row>
    <row r="26" spans="2:2">
      <c r="B26" s="96" t="s">
        <v>105</v>
      </c>
    </row>
    <row r="28" spans="2:2">
      <c r="B28" s="97" t="s">
        <v>107</v>
      </c>
    </row>
    <row r="29" spans="2:2">
      <c r="B29" s="97"/>
    </row>
    <row r="30" spans="2:2">
      <c r="B30" s="97" t="s">
        <v>146</v>
      </c>
    </row>
    <row r="31" spans="2:2">
      <c r="B31" s="97" t="s">
        <v>139</v>
      </c>
    </row>
    <row r="32" spans="2:2">
      <c r="B32" s="97"/>
    </row>
    <row r="33" spans="2:2">
      <c r="B33" s="97" t="s">
        <v>147</v>
      </c>
    </row>
    <row r="34" spans="2:2">
      <c r="B34" s="97" t="s">
        <v>148</v>
      </c>
    </row>
    <row r="35" spans="2:2">
      <c r="B35" s="97" t="s">
        <v>149</v>
      </c>
    </row>
    <row r="36" spans="2:2">
      <c r="B36" s="94" t="s">
        <v>121</v>
      </c>
    </row>
    <row r="37" spans="2:2">
      <c r="B37" s="24"/>
    </row>
    <row r="38" spans="2:2">
      <c r="B38" t="s">
        <v>108</v>
      </c>
    </row>
    <row r="39" spans="2:2">
      <c r="B39" t="s">
        <v>163</v>
      </c>
    </row>
    <row r="40" spans="2:2">
      <c r="B40" t="s">
        <v>164</v>
      </c>
    </row>
    <row r="41" spans="2:2">
      <c r="B41" t="s">
        <v>167</v>
      </c>
    </row>
    <row r="42" spans="2:2">
      <c r="B42" s="24" t="s">
        <v>166</v>
      </c>
    </row>
    <row r="43" spans="2:2">
      <c r="B43" t="s">
        <v>165</v>
      </c>
    </row>
    <row r="48" spans="2:2">
      <c r="B48" t="s">
        <v>117</v>
      </c>
    </row>
    <row r="49" spans="2:8">
      <c r="B49" t="s">
        <v>118</v>
      </c>
    </row>
    <row r="50" spans="2:8">
      <c r="B50" t="s">
        <v>119</v>
      </c>
    </row>
    <row r="52" spans="2:8">
      <c r="B52" t="s">
        <v>122</v>
      </c>
    </row>
    <row r="53" spans="2:8">
      <c r="B53" t="s">
        <v>123</v>
      </c>
    </row>
    <row r="54" spans="2:8">
      <c r="B54" t="s">
        <v>124</v>
      </c>
    </row>
    <row r="55" spans="2:8">
      <c r="B55" t="s">
        <v>125</v>
      </c>
    </row>
    <row r="56" spans="2:8">
      <c r="B56" t="s">
        <v>150</v>
      </c>
    </row>
    <row r="58" spans="2:8">
      <c r="B58" s="104" t="s">
        <v>114</v>
      </c>
      <c r="C58" s="104"/>
      <c r="D58" s="104" t="s">
        <v>176</v>
      </c>
      <c r="E58" s="104"/>
      <c r="F58" s="104"/>
    </row>
    <row r="59" spans="2:8">
      <c r="B59" s="104" t="s">
        <v>113</v>
      </c>
      <c r="C59" s="104"/>
      <c r="D59" s="104" t="s">
        <v>177</v>
      </c>
      <c r="E59" s="104"/>
      <c r="F59" s="104"/>
    </row>
    <row r="60" spans="2:8">
      <c r="B60" s="104" t="s">
        <v>115</v>
      </c>
      <c r="C60" s="104"/>
      <c r="D60" s="104" t="s">
        <v>151</v>
      </c>
      <c r="E60" s="104"/>
      <c r="F60" s="104"/>
    </row>
    <row r="61" spans="2:8">
      <c r="B61" s="94" t="s">
        <v>152</v>
      </c>
      <c r="C61" s="104"/>
      <c r="D61" s="104"/>
      <c r="E61" s="104"/>
      <c r="F61" s="104"/>
    </row>
    <row r="63" spans="2:8">
      <c r="B63" s="106" t="s">
        <v>116</v>
      </c>
      <c r="C63" s="106"/>
      <c r="D63" s="106"/>
      <c r="E63" s="106"/>
      <c r="F63" s="106"/>
      <c r="G63" s="106"/>
      <c r="H63" s="94"/>
    </row>
    <row r="64" spans="2:8">
      <c r="B64" s="113" t="s">
        <v>43</v>
      </c>
      <c r="C64" s="94"/>
      <c r="D64" s="106"/>
      <c r="E64" s="106"/>
      <c r="F64" s="106"/>
      <c r="G64" s="106"/>
      <c r="H64" s="94"/>
    </row>
    <row r="65" spans="2:12">
      <c r="B65" s="114" t="s">
        <v>44</v>
      </c>
      <c r="D65" s="92"/>
      <c r="E65" s="92"/>
      <c r="F65" s="92"/>
      <c r="G65" s="92"/>
    </row>
    <row r="66" spans="2:12">
      <c r="B66" s="173" t="s">
        <v>182</v>
      </c>
      <c r="C66" s="2"/>
      <c r="D66" s="2"/>
      <c r="E66" s="2"/>
      <c r="F66" s="2"/>
      <c r="G66" s="2"/>
      <c r="H66" s="2"/>
      <c r="I66" s="2"/>
      <c r="J66" s="2"/>
      <c r="K66" s="2"/>
      <c r="L66" s="2"/>
    </row>
    <row r="67" spans="2:12">
      <c r="B67" s="105"/>
      <c r="C67" s="105"/>
      <c r="D67" s="105"/>
      <c r="E67" s="105"/>
      <c r="F67" s="105"/>
      <c r="G67" s="105"/>
      <c r="H67" s="105"/>
      <c r="I67" s="105"/>
      <c r="J67" s="105"/>
    </row>
  </sheetData>
  <sheetProtection password="ED6E" sheet="1" objects="1" scenarios="1"/>
  <mergeCells count="1">
    <mergeCell ref="F8:H8"/>
  </mergeCells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4097" r:id="rId4">
          <objectPr defaultSize="0" r:id="rId5">
            <anchor moveWithCells="1">
              <from>
                <xdr:col>2</xdr:col>
                <xdr:colOff>563880</xdr:colOff>
                <xdr:row>43</xdr:row>
                <xdr:rowOff>121920</xdr:rowOff>
              </from>
              <to>
                <xdr:col>4</xdr:col>
                <xdr:colOff>335280</xdr:colOff>
                <xdr:row>46</xdr:row>
                <xdr:rowOff>91440</xdr:rowOff>
              </to>
            </anchor>
          </objectPr>
        </oleObject>
      </mc:Choice>
      <mc:Fallback>
        <oleObject progId="Equation.3" shapeId="4097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A1:K42"/>
  <sheetViews>
    <sheetView showGridLines="0" zoomScale="90" workbookViewId="0">
      <selection activeCell="F7" sqref="F7"/>
    </sheetView>
  </sheetViews>
  <sheetFormatPr defaultRowHeight="13.2"/>
  <cols>
    <col min="1" max="1" width="3.6640625" customWidth="1"/>
    <col min="4" max="4" width="14.6640625" customWidth="1"/>
  </cols>
  <sheetData>
    <row r="1" spans="1:11" ht="15.6">
      <c r="A1" s="26"/>
      <c r="B1" s="25" t="s">
        <v>153</v>
      </c>
      <c r="C1" s="26"/>
      <c r="D1" s="26"/>
      <c r="E1" s="26"/>
      <c r="F1" s="26"/>
      <c r="G1" s="26"/>
      <c r="H1" s="26"/>
      <c r="I1" s="26"/>
      <c r="J1" s="26"/>
      <c r="K1" s="26"/>
    </row>
    <row r="2" spans="1:11">
      <c r="A2" s="26"/>
      <c r="B2" s="27" t="s">
        <v>28</v>
      </c>
      <c r="C2" s="26"/>
      <c r="D2" s="26"/>
      <c r="E2" s="26"/>
      <c r="F2" s="26"/>
      <c r="G2" s="26"/>
      <c r="H2" s="98" t="s">
        <v>32</v>
      </c>
      <c r="I2" s="28" t="s">
        <v>33</v>
      </c>
      <c r="J2" s="29"/>
      <c r="K2" s="26"/>
    </row>
    <row r="3" spans="1:11">
      <c r="A3" s="26"/>
      <c r="B3" s="26"/>
      <c r="C3" s="26"/>
      <c r="D3" s="26"/>
      <c r="E3" s="26"/>
      <c r="F3" s="26"/>
      <c r="G3" s="26"/>
      <c r="H3" s="30" t="s">
        <v>29</v>
      </c>
      <c r="I3" s="31">
        <v>1.2</v>
      </c>
      <c r="J3" s="32"/>
      <c r="K3" s="26"/>
    </row>
    <row r="4" spans="1:11">
      <c r="A4" s="26"/>
      <c r="B4" s="33" t="s">
        <v>31</v>
      </c>
      <c r="C4" s="26"/>
      <c r="D4" s="26"/>
      <c r="E4" s="26"/>
      <c r="F4" s="26"/>
      <c r="G4" s="26"/>
      <c r="H4" s="34" t="s">
        <v>30</v>
      </c>
      <c r="I4" s="35" t="s">
        <v>159</v>
      </c>
      <c r="J4" s="36"/>
      <c r="K4" s="26"/>
    </row>
    <row r="5" spans="1:11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</row>
    <row r="6" spans="1:11">
      <c r="A6" s="26"/>
      <c r="B6" s="26"/>
      <c r="C6" s="37"/>
      <c r="D6" s="38" t="s">
        <v>47</v>
      </c>
      <c r="E6" s="39"/>
      <c r="F6" s="8" t="s">
        <v>175</v>
      </c>
      <c r="G6" s="6"/>
      <c r="H6" s="6"/>
      <c r="I6" s="6"/>
      <c r="J6" s="7"/>
      <c r="K6" s="26"/>
    </row>
    <row r="7" spans="1:11">
      <c r="A7" s="26"/>
      <c r="B7" s="26"/>
      <c r="C7" s="40"/>
      <c r="D7" s="41" t="s">
        <v>87</v>
      </c>
      <c r="E7" s="41" t="s">
        <v>0</v>
      </c>
      <c r="F7" s="5">
        <v>190</v>
      </c>
      <c r="G7" s="42" t="s">
        <v>34</v>
      </c>
      <c r="H7" s="42"/>
      <c r="I7" s="42"/>
      <c r="J7" s="43"/>
      <c r="K7" s="26"/>
    </row>
    <row r="8" spans="1:11">
      <c r="A8" s="26"/>
      <c r="B8" s="26"/>
      <c r="C8" s="40"/>
      <c r="D8" s="41" t="s">
        <v>7</v>
      </c>
      <c r="E8" s="41" t="s">
        <v>9</v>
      </c>
      <c r="F8" s="3">
        <v>418</v>
      </c>
      <c r="G8" s="42" t="s">
        <v>35</v>
      </c>
      <c r="H8" s="42"/>
      <c r="I8" s="42"/>
      <c r="J8" s="43"/>
      <c r="K8" s="26"/>
    </row>
    <row r="9" spans="1:11">
      <c r="A9" s="26"/>
      <c r="B9" s="26"/>
      <c r="C9" s="40"/>
      <c r="D9" s="44" t="s">
        <v>36</v>
      </c>
      <c r="E9" s="41" t="s">
        <v>6</v>
      </c>
      <c r="F9" s="4">
        <v>3.2</v>
      </c>
      <c r="G9" s="42" t="s">
        <v>34</v>
      </c>
      <c r="H9" s="42"/>
      <c r="I9" s="45" t="s">
        <v>78</v>
      </c>
      <c r="J9" s="43"/>
      <c r="K9" s="26"/>
    </row>
    <row r="10" spans="1:11">
      <c r="A10" s="26"/>
      <c r="B10" s="26"/>
      <c r="C10" s="40"/>
      <c r="D10" s="44" t="s">
        <v>37</v>
      </c>
      <c r="E10" s="41" t="s">
        <v>3</v>
      </c>
      <c r="F10" s="4">
        <v>14</v>
      </c>
      <c r="G10" s="42" t="s">
        <v>34</v>
      </c>
      <c r="H10" s="42"/>
      <c r="I10" s="42"/>
      <c r="J10" s="43"/>
      <c r="K10" s="26"/>
    </row>
    <row r="11" spans="1:11">
      <c r="A11" s="26"/>
      <c r="B11" s="26"/>
      <c r="C11" s="40"/>
      <c r="D11" s="41" t="s">
        <v>22</v>
      </c>
      <c r="E11" s="41" t="s">
        <v>24</v>
      </c>
      <c r="F11" s="3">
        <v>4</v>
      </c>
      <c r="G11" s="42" t="s">
        <v>81</v>
      </c>
      <c r="H11" s="42"/>
      <c r="I11" s="42"/>
      <c r="J11" s="43"/>
      <c r="K11" s="26"/>
    </row>
    <row r="12" spans="1:11">
      <c r="A12" s="26"/>
      <c r="B12" s="26"/>
      <c r="C12" s="46"/>
      <c r="D12" s="47" t="s">
        <v>23</v>
      </c>
      <c r="E12" s="47" t="s">
        <v>110</v>
      </c>
      <c r="F12" s="3">
        <v>0.45</v>
      </c>
      <c r="G12" s="48"/>
      <c r="H12" s="48"/>
      <c r="I12" s="48"/>
      <c r="J12" s="49"/>
      <c r="K12" s="26"/>
    </row>
    <row r="13" spans="1:11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</row>
    <row r="14" spans="1:11">
      <c r="A14" s="26"/>
      <c r="B14" s="26"/>
      <c r="C14" s="37"/>
      <c r="D14" s="38" t="s">
        <v>8</v>
      </c>
      <c r="E14" s="38" t="s">
        <v>10</v>
      </c>
      <c r="F14" s="50">
        <f>ite/fe</f>
        <v>2.2000000000000002</v>
      </c>
      <c r="G14" s="39" t="s">
        <v>12</v>
      </c>
      <c r="H14" s="39"/>
      <c r="I14" s="39"/>
      <c r="J14" s="51"/>
      <c r="K14" s="26"/>
    </row>
    <row r="15" spans="1:11">
      <c r="A15" s="26"/>
      <c r="B15" s="26"/>
      <c r="C15" s="40"/>
      <c r="D15" s="41" t="s">
        <v>61</v>
      </c>
      <c r="E15" s="41"/>
      <c r="F15" s="52" t="str">
        <f>VLOOKUP(ite*4.448,classtab,4, TRUE)</f>
        <v>K</v>
      </c>
      <c r="G15" s="42"/>
      <c r="H15" s="42"/>
      <c r="I15" s="42"/>
      <c r="J15" s="43"/>
      <c r="K15" s="26"/>
    </row>
    <row r="16" spans="1:11">
      <c r="A16" s="26"/>
      <c r="B16" s="26"/>
      <c r="C16" s="40"/>
      <c r="D16" s="44" t="s">
        <v>38</v>
      </c>
      <c r="E16" s="41" t="s">
        <v>16</v>
      </c>
      <c r="F16" s="53">
        <f>mre+mpe/2</f>
        <v>15.6</v>
      </c>
      <c r="G16" s="42" t="s">
        <v>34</v>
      </c>
      <c r="H16" s="42"/>
      <c r="I16" s="42"/>
      <c r="J16" s="43"/>
      <c r="K16" s="26"/>
    </row>
    <row r="17" spans="1:11">
      <c r="A17" s="26"/>
      <c r="B17" s="26"/>
      <c r="C17" s="40"/>
      <c r="D17" s="41"/>
      <c r="E17" s="41"/>
      <c r="F17" s="53"/>
      <c r="G17" s="42"/>
      <c r="H17" s="42"/>
      <c r="I17" s="42"/>
      <c r="J17" s="43"/>
      <c r="K17" s="26"/>
    </row>
    <row r="18" spans="1:11" ht="15.6">
      <c r="A18" s="26"/>
      <c r="B18" s="26"/>
      <c r="C18" s="40"/>
      <c r="D18" s="54" t="s">
        <v>172</v>
      </c>
      <c r="E18" s="55" t="s">
        <v>20</v>
      </c>
      <c r="F18" s="56">
        <f>fe/mrae*32.18</f>
        <v>391.93589743589746</v>
      </c>
      <c r="G18" s="57" t="s">
        <v>40</v>
      </c>
      <c r="H18" s="42"/>
      <c r="I18" s="42"/>
      <c r="J18" s="43"/>
      <c r="K18" s="26"/>
    </row>
    <row r="19" spans="1:11">
      <c r="A19" s="26"/>
      <c r="B19" s="26"/>
      <c r="C19" s="46"/>
      <c r="D19" s="58"/>
      <c r="E19" s="102" t="s">
        <v>111</v>
      </c>
      <c r="F19" s="59">
        <f>ae/32.18</f>
        <v>12.179487179487181</v>
      </c>
      <c r="G19" s="60" t="s">
        <v>21</v>
      </c>
      <c r="H19" s="48"/>
      <c r="I19" s="48"/>
      <c r="J19" s="49"/>
      <c r="K19" s="26"/>
    </row>
    <row r="20" spans="1:11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>
      <c r="A21" s="26"/>
      <c r="B21" s="37"/>
      <c r="C21" s="39"/>
      <c r="D21" s="38" t="s">
        <v>168</v>
      </c>
      <c r="E21" s="38" t="s">
        <v>18</v>
      </c>
      <c r="F21" s="61">
        <f>fe*zed1e/mrae</f>
        <v>10603.574464168312</v>
      </c>
      <c r="G21" s="39" t="s">
        <v>39</v>
      </c>
      <c r="H21" s="39"/>
      <c r="I21" s="39"/>
      <c r="J21" s="51"/>
      <c r="K21" s="26"/>
    </row>
    <row r="22" spans="1:11">
      <c r="A22" s="26"/>
      <c r="B22" s="40"/>
      <c r="C22" s="42"/>
      <c r="D22" s="44" t="s">
        <v>169</v>
      </c>
      <c r="E22" s="41" t="s">
        <v>45</v>
      </c>
      <c r="F22" s="62">
        <f>te+SQRT(2*(F21-zed1e)/32.18)</f>
        <v>26.794871794871796</v>
      </c>
      <c r="G22" s="42" t="s">
        <v>12</v>
      </c>
      <c r="H22" s="42"/>
      <c r="I22" s="63" t="s">
        <v>77</v>
      </c>
      <c r="J22" s="43"/>
      <c r="K22" s="26"/>
    </row>
    <row r="23" spans="1:11">
      <c r="A23" s="26"/>
      <c r="B23" s="40"/>
      <c r="C23" s="42"/>
      <c r="D23" s="44" t="s">
        <v>170</v>
      </c>
      <c r="E23" s="41" t="s">
        <v>19</v>
      </c>
      <c r="F23" s="64">
        <f>SQRT(2*zed1e/mrae*(fe-mrae)*32.18)</f>
        <v>791.46297435897452</v>
      </c>
      <c r="G23" s="65" t="s">
        <v>41</v>
      </c>
      <c r="H23" s="42"/>
      <c r="I23" s="42" t="s">
        <v>74</v>
      </c>
      <c r="J23" s="43"/>
      <c r="K23" s="26"/>
    </row>
    <row r="24" spans="1:11">
      <c r="A24" s="26"/>
      <c r="B24" s="46"/>
      <c r="C24" s="48"/>
      <c r="D24" s="47" t="s">
        <v>171</v>
      </c>
      <c r="E24" s="47" t="s">
        <v>13</v>
      </c>
      <c r="F24" s="66">
        <f>1/2*(fe*32.18/mrae-32.18)*te^2</f>
        <v>870.60927179487192</v>
      </c>
      <c r="G24" s="48" t="s">
        <v>83</v>
      </c>
      <c r="H24" s="48"/>
      <c r="I24" s="48"/>
      <c r="J24" s="49"/>
      <c r="K24" s="26"/>
    </row>
    <row r="25" spans="1:11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>
      <c r="A26" s="26"/>
      <c r="B26" s="37"/>
      <c r="C26" s="39"/>
      <c r="D26" s="38" t="s">
        <v>126</v>
      </c>
      <c r="E26" s="38" t="s">
        <v>109</v>
      </c>
      <c r="F26" s="168">
        <f>cde*diae^2*vmaxe^2/(mre/32.18)/24353</f>
        <v>425.69567458023488</v>
      </c>
      <c r="G26" s="101" t="str">
        <f>IF(iterme&gt;900,"Out of valid range!","(valid range between 0 and 900)")</f>
        <v>(valid range between 0 and 900)</v>
      </c>
      <c r="H26" s="39"/>
      <c r="I26" s="39"/>
      <c r="J26" s="51"/>
      <c r="K26" s="26"/>
    </row>
    <row r="27" spans="1:11">
      <c r="A27" s="26"/>
      <c r="B27" s="40"/>
      <c r="C27" s="42"/>
      <c r="D27" s="44" t="s">
        <v>26</v>
      </c>
      <c r="E27" s="44" t="s">
        <v>67</v>
      </c>
      <c r="F27" s="67">
        <f>IF(1/(1.049909+0.001719*iterme^1.0042225)&gt;1,1,1/(1.049909+0.001719*iterme^1.0042225))</f>
        <v>0.55536228753856509</v>
      </c>
      <c r="G27" s="42"/>
      <c r="H27" s="42"/>
      <c r="I27" s="42"/>
      <c r="J27" s="43"/>
      <c r="K27" s="26"/>
    </row>
    <row r="28" spans="1:11">
      <c r="A28" s="26"/>
      <c r="B28" s="40"/>
      <c r="C28" s="42"/>
      <c r="D28" s="41" t="s">
        <v>71</v>
      </c>
      <c r="E28" s="44" t="s">
        <v>68</v>
      </c>
      <c r="F28" s="67">
        <f>IF(1/(1.048224+0.001093*iterme^0.97255)&gt;1,1,1/(1.048224+0.001093*iterme^0.97255))</f>
        <v>0.69334983816533124</v>
      </c>
      <c r="G28" s="42"/>
      <c r="H28" s="26"/>
      <c r="I28" s="68" t="s">
        <v>76</v>
      </c>
      <c r="J28" s="43"/>
      <c r="K28" s="26"/>
    </row>
    <row r="29" spans="1:11">
      <c r="A29" s="26"/>
      <c r="B29" s="40"/>
      <c r="C29" s="42"/>
      <c r="D29" s="41" t="s">
        <v>72</v>
      </c>
      <c r="E29" s="44" t="s">
        <v>69</v>
      </c>
      <c r="F29" s="67">
        <f>IF((0.99769-0.000075691*iterme)&gt;1,1,(0.99769-0.000075691*iterme))</f>
        <v>0.96546866869534742</v>
      </c>
      <c r="G29" s="42"/>
      <c r="H29" s="42"/>
      <c r="I29" s="42"/>
      <c r="J29" s="43"/>
      <c r="K29" s="26"/>
    </row>
    <row r="30" spans="1:11">
      <c r="A30" s="26"/>
      <c r="B30" s="46"/>
      <c r="C30" s="48"/>
      <c r="D30" s="47" t="s">
        <v>73</v>
      </c>
      <c r="E30" s="69" t="s">
        <v>70</v>
      </c>
      <c r="F30" s="70">
        <f>IF((0.99973-0.000043807*iterme)&gt;1,1,(0.99973-0.000043807*iterme))</f>
        <v>0.98108154958366367</v>
      </c>
      <c r="G30" s="48"/>
      <c r="H30" s="48"/>
      <c r="I30" s="48"/>
      <c r="J30" s="49"/>
      <c r="K30" s="26"/>
    </row>
    <row r="31" spans="1:11">
      <c r="A31" s="26"/>
      <c r="B31" s="26"/>
      <c r="C31" s="26"/>
      <c r="D31" s="71"/>
      <c r="E31" s="72"/>
      <c r="F31" s="73"/>
      <c r="G31" s="26"/>
      <c r="H31" s="74"/>
      <c r="I31" s="26"/>
      <c r="J31" s="26"/>
      <c r="K31" s="26"/>
    </row>
    <row r="32" spans="1:11">
      <c r="A32" s="26"/>
      <c r="B32" s="26"/>
      <c r="C32" s="75"/>
      <c r="D32" s="76" t="s">
        <v>17</v>
      </c>
      <c r="E32" s="76" t="s">
        <v>64</v>
      </c>
      <c r="F32" s="77">
        <f>fact1e*F21</f>
        <v>5888.8253705060288</v>
      </c>
      <c r="G32" s="78" t="s">
        <v>39</v>
      </c>
      <c r="H32" s="26"/>
      <c r="I32" s="39"/>
      <c r="J32" s="51"/>
      <c r="K32" s="26"/>
    </row>
    <row r="33" spans="1:11">
      <c r="A33" s="26"/>
      <c r="B33" s="26"/>
      <c r="C33" s="79"/>
      <c r="D33" s="55" t="s">
        <v>46</v>
      </c>
      <c r="E33" s="54" t="s">
        <v>63</v>
      </c>
      <c r="F33" s="80">
        <f>fact2e*F22</f>
        <v>18.578220022635158</v>
      </c>
      <c r="G33" s="81" t="s">
        <v>12</v>
      </c>
      <c r="H33" s="42"/>
      <c r="I33" s="82" t="s">
        <v>79</v>
      </c>
      <c r="J33" s="43"/>
      <c r="K33" s="26"/>
    </row>
    <row r="34" spans="1:11">
      <c r="A34" s="26"/>
      <c r="B34" s="26"/>
      <c r="C34" s="40"/>
      <c r="D34" s="55" t="s">
        <v>62</v>
      </c>
      <c r="E34" s="54" t="s">
        <v>65</v>
      </c>
      <c r="F34" s="56">
        <f>fact3e*F23</f>
        <v>764.13270417601905</v>
      </c>
      <c r="G34" s="81" t="s">
        <v>41</v>
      </c>
      <c r="H34" s="42"/>
      <c r="I34" s="42" t="s">
        <v>75</v>
      </c>
      <c r="J34" s="43"/>
      <c r="K34" s="26"/>
    </row>
    <row r="35" spans="1:11">
      <c r="A35" s="26"/>
      <c r="B35" s="26"/>
      <c r="C35" s="40"/>
      <c r="D35" s="55"/>
      <c r="E35" s="103" t="s">
        <v>112</v>
      </c>
      <c r="F35" s="56">
        <f>F34*0.6818</f>
        <v>520.98567770720979</v>
      </c>
      <c r="G35" s="81" t="s">
        <v>84</v>
      </c>
      <c r="H35" s="42"/>
      <c r="I35" s="42"/>
      <c r="J35" s="43"/>
      <c r="K35" s="26"/>
    </row>
    <row r="36" spans="1:11">
      <c r="A36" s="26"/>
      <c r="B36" s="26"/>
      <c r="C36" s="46"/>
      <c r="D36" s="58" t="s">
        <v>14</v>
      </c>
      <c r="E36" s="83" t="s">
        <v>66</v>
      </c>
      <c r="F36" s="84">
        <f>fact4e*zed1e</f>
        <v>854.13869345441799</v>
      </c>
      <c r="G36" s="60" t="s">
        <v>85</v>
      </c>
      <c r="H36" s="48"/>
      <c r="I36" s="48"/>
      <c r="J36" s="49"/>
      <c r="K36" s="26"/>
    </row>
    <row r="37" spans="1:11">
      <c r="A37" s="26"/>
      <c r="B37" s="26"/>
      <c r="C37" s="26"/>
      <c r="D37" s="115" t="str">
        <f>IF(F23&gt;1086,"Warning: Rocket is supersonic, results may be invalid","")</f>
        <v/>
      </c>
      <c r="E37" s="54"/>
      <c r="F37" s="26"/>
      <c r="G37" s="26"/>
      <c r="H37" s="26"/>
      <c r="I37" s="26"/>
      <c r="J37" s="26"/>
      <c r="K37" s="26"/>
    </row>
    <row r="38" spans="1:11">
      <c r="A38" s="42"/>
      <c r="B38" s="42"/>
      <c r="C38" s="42"/>
      <c r="D38" s="42"/>
      <c r="E38" s="42"/>
      <c r="F38" s="42"/>
      <c r="G38" s="42"/>
      <c r="H38" s="42"/>
      <c r="I38" s="42"/>
      <c r="J38" s="26"/>
      <c r="K38" s="26"/>
    </row>
    <row r="39" spans="1:11">
      <c r="A39" s="42"/>
      <c r="B39" s="42"/>
      <c r="C39" s="42"/>
      <c r="D39" s="42"/>
      <c r="E39" s="42"/>
      <c r="F39" s="42"/>
      <c r="G39" s="42"/>
      <c r="H39" s="42"/>
      <c r="I39" s="42"/>
      <c r="J39" s="26"/>
      <c r="K39" s="26"/>
    </row>
    <row r="40" spans="1:11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</row>
    <row r="41" spans="1:11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</row>
    <row r="42" spans="1:11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</row>
  </sheetData>
  <sheetProtection password="ED6E" sheet="1" objects="1" scenarios="1"/>
  <phoneticPr fontId="0" type="noConversion"/>
  <pageMargins left="0.75" right="0.5" top="1" bottom="1" header="0.5" footer="0.5"/>
  <pageSetup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autoPageBreaks="0"/>
  </sheetPr>
  <dimension ref="A1:K42"/>
  <sheetViews>
    <sheetView showGridLines="0" tabSelected="1" topLeftCell="A4" zoomScale="90" workbookViewId="0">
      <selection activeCell="F11" sqref="F11"/>
    </sheetView>
  </sheetViews>
  <sheetFormatPr defaultRowHeight="13.2"/>
  <cols>
    <col min="1" max="1" width="3.6640625" customWidth="1"/>
    <col min="4" max="4" width="14.6640625" customWidth="1"/>
  </cols>
  <sheetData>
    <row r="1" spans="1:11" ht="15.6">
      <c r="A1" s="26"/>
      <c r="B1" s="25" t="s">
        <v>153</v>
      </c>
      <c r="C1" s="26"/>
      <c r="D1" s="26"/>
      <c r="E1" s="26"/>
      <c r="F1" s="26"/>
      <c r="G1" s="26"/>
      <c r="H1" s="26"/>
      <c r="I1" s="26"/>
      <c r="J1" s="26"/>
      <c r="K1" s="26"/>
    </row>
    <row r="2" spans="1:11">
      <c r="A2" s="26"/>
      <c r="B2" s="27" t="s">
        <v>28</v>
      </c>
      <c r="C2" s="26"/>
      <c r="D2" s="26"/>
      <c r="E2" s="26"/>
      <c r="F2" s="26"/>
      <c r="G2" s="26"/>
      <c r="H2" s="98" t="s">
        <v>32</v>
      </c>
      <c r="I2" s="28" t="s">
        <v>33</v>
      </c>
      <c r="J2" s="29"/>
      <c r="K2" s="26"/>
    </row>
    <row r="3" spans="1:11">
      <c r="A3" s="26"/>
      <c r="B3" s="26"/>
      <c r="C3" s="26"/>
      <c r="D3" s="26"/>
      <c r="E3" s="26"/>
      <c r="F3" s="26"/>
      <c r="G3" s="26"/>
      <c r="H3" s="30" t="s">
        <v>29</v>
      </c>
      <c r="I3" s="31">
        <v>1.2</v>
      </c>
      <c r="J3" s="32"/>
      <c r="K3" s="26"/>
    </row>
    <row r="4" spans="1:11">
      <c r="A4" s="26"/>
      <c r="B4" s="33" t="s">
        <v>31</v>
      </c>
      <c r="C4" s="26"/>
      <c r="D4" s="26"/>
      <c r="E4" s="26"/>
      <c r="F4" s="26"/>
      <c r="G4" s="26"/>
      <c r="H4" s="34" t="s">
        <v>30</v>
      </c>
      <c r="I4" s="35" t="s">
        <v>159</v>
      </c>
      <c r="J4" s="36"/>
      <c r="K4" s="26"/>
    </row>
    <row r="5" spans="1:11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</row>
    <row r="6" spans="1:11">
      <c r="A6" s="26"/>
      <c r="B6" s="26"/>
      <c r="C6" s="37"/>
      <c r="D6" s="38" t="s">
        <v>47</v>
      </c>
      <c r="E6" s="39"/>
      <c r="F6" s="8" t="s">
        <v>185</v>
      </c>
      <c r="G6" s="6"/>
      <c r="H6" s="6"/>
      <c r="I6" s="6"/>
      <c r="J6" s="7"/>
      <c r="K6" s="26"/>
    </row>
    <row r="7" spans="1:11">
      <c r="A7" s="26"/>
      <c r="B7" s="26"/>
      <c r="C7" s="40"/>
      <c r="D7" s="41" t="s">
        <v>87</v>
      </c>
      <c r="E7" s="41" t="s">
        <v>0</v>
      </c>
      <c r="F7" s="5">
        <v>4.74</v>
      </c>
      <c r="G7" s="42" t="s">
        <v>1</v>
      </c>
      <c r="H7" s="42"/>
      <c r="I7" s="42"/>
      <c r="J7" s="43"/>
      <c r="K7" s="26"/>
    </row>
    <row r="8" spans="1:11">
      <c r="A8" s="26"/>
      <c r="B8" s="26"/>
      <c r="C8" s="40"/>
      <c r="D8" s="41" t="s">
        <v>7</v>
      </c>
      <c r="E8" s="41" t="s">
        <v>9</v>
      </c>
      <c r="F8" s="3">
        <v>8.82</v>
      </c>
      <c r="G8" s="42" t="s">
        <v>11</v>
      </c>
      <c r="H8" s="42"/>
      <c r="I8" s="42"/>
      <c r="J8" s="43"/>
      <c r="K8" s="26"/>
    </row>
    <row r="9" spans="1:11">
      <c r="A9" s="26"/>
      <c r="B9" s="26"/>
      <c r="C9" s="40"/>
      <c r="D9" s="41" t="s">
        <v>5</v>
      </c>
      <c r="E9" s="41" t="s">
        <v>6</v>
      </c>
      <c r="F9" s="4">
        <v>1.0800000000000001E-2</v>
      </c>
      <c r="G9" s="42" t="s">
        <v>4</v>
      </c>
      <c r="H9" s="42"/>
      <c r="I9" s="45" t="s">
        <v>78</v>
      </c>
      <c r="J9" s="43"/>
      <c r="K9" s="26"/>
    </row>
    <row r="10" spans="1:11">
      <c r="A10" s="26"/>
      <c r="B10" s="26"/>
      <c r="C10" s="40"/>
      <c r="D10" s="44" t="s">
        <v>2</v>
      </c>
      <c r="E10" s="41" t="s">
        <v>3</v>
      </c>
      <c r="F10" s="4">
        <v>0.05</v>
      </c>
      <c r="G10" s="42" t="s">
        <v>4</v>
      </c>
      <c r="H10" s="42"/>
      <c r="I10" s="42"/>
      <c r="J10" s="43"/>
      <c r="K10" s="26"/>
    </row>
    <row r="11" spans="1:11">
      <c r="A11" s="26"/>
      <c r="B11" s="26"/>
      <c r="C11" s="40"/>
      <c r="D11" s="41" t="s">
        <v>22</v>
      </c>
      <c r="E11" s="41" t="s">
        <v>24</v>
      </c>
      <c r="F11" s="3">
        <v>2.1</v>
      </c>
      <c r="G11" s="42" t="s">
        <v>25</v>
      </c>
      <c r="H11" s="42"/>
      <c r="I11" s="42"/>
      <c r="J11" s="43"/>
      <c r="K11" s="26"/>
    </row>
    <row r="12" spans="1:11">
      <c r="A12" s="26"/>
      <c r="B12" s="26"/>
      <c r="C12" s="46"/>
      <c r="D12" s="47" t="s">
        <v>23</v>
      </c>
      <c r="E12" s="47" t="s">
        <v>110</v>
      </c>
      <c r="F12" s="3">
        <v>0.5</v>
      </c>
      <c r="G12" s="48"/>
      <c r="H12" s="48"/>
      <c r="I12" s="48"/>
      <c r="J12" s="49"/>
      <c r="K12" s="26"/>
    </row>
    <row r="13" spans="1:11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</row>
    <row r="14" spans="1:11">
      <c r="A14" s="26"/>
      <c r="B14" s="26"/>
      <c r="C14" s="37"/>
      <c r="D14" s="38" t="s">
        <v>8</v>
      </c>
      <c r="E14" s="38" t="s">
        <v>10</v>
      </c>
      <c r="F14" s="50">
        <f>it/f</f>
        <v>1.860759493670886</v>
      </c>
      <c r="G14" s="39" t="s">
        <v>12</v>
      </c>
      <c r="H14" s="39"/>
      <c r="I14" s="39"/>
      <c r="J14" s="51"/>
      <c r="K14" s="26"/>
    </row>
    <row r="15" spans="1:11">
      <c r="A15" s="26"/>
      <c r="B15" s="26"/>
      <c r="C15" s="40"/>
      <c r="D15" s="41" t="s">
        <v>61</v>
      </c>
      <c r="E15" s="41"/>
      <c r="F15" s="52" t="str">
        <f>VLOOKUP(it,classtab,4, TRUE)</f>
        <v>C</v>
      </c>
      <c r="G15" s="42"/>
      <c r="H15" s="42"/>
      <c r="I15" s="42"/>
      <c r="J15" s="43"/>
      <c r="K15" s="26"/>
    </row>
    <row r="16" spans="1:11">
      <c r="A16" s="26"/>
      <c r="B16" s="26"/>
      <c r="C16" s="40"/>
      <c r="D16" s="41" t="s">
        <v>15</v>
      </c>
      <c r="E16" s="41" t="s">
        <v>16</v>
      </c>
      <c r="F16" s="53">
        <f>mr+mp/2</f>
        <v>5.5400000000000005E-2</v>
      </c>
      <c r="G16" s="42" t="s">
        <v>4</v>
      </c>
      <c r="H16" s="42"/>
      <c r="I16" s="42"/>
      <c r="J16" s="43"/>
      <c r="K16" s="26"/>
    </row>
    <row r="17" spans="1:11">
      <c r="A17" s="26"/>
      <c r="B17" s="26"/>
      <c r="C17" s="40"/>
      <c r="D17" s="41"/>
      <c r="E17" s="41"/>
      <c r="F17" s="53"/>
      <c r="G17" s="42"/>
      <c r="H17" s="42"/>
      <c r="I17" s="42"/>
      <c r="J17" s="43"/>
      <c r="K17" s="26"/>
    </row>
    <row r="18" spans="1:11" ht="15.6">
      <c r="A18" s="26"/>
      <c r="B18" s="26"/>
      <c r="C18" s="40"/>
      <c r="D18" s="54" t="s">
        <v>172</v>
      </c>
      <c r="E18" s="55" t="s">
        <v>20</v>
      </c>
      <c r="F18" s="56">
        <f>f/mra</f>
        <v>85.559566787003604</v>
      </c>
      <c r="G18" s="57" t="s">
        <v>82</v>
      </c>
      <c r="H18" s="42"/>
      <c r="I18" s="42"/>
      <c r="J18" s="43"/>
      <c r="K18" s="26"/>
    </row>
    <row r="19" spans="1:11">
      <c r="A19" s="26"/>
      <c r="B19" s="26"/>
      <c r="C19" s="46"/>
      <c r="D19" s="58"/>
      <c r="E19" s="102" t="s">
        <v>111</v>
      </c>
      <c r="F19" s="59">
        <f>a/9.808</f>
        <v>8.7234468583812816</v>
      </c>
      <c r="G19" s="60" t="s">
        <v>21</v>
      </c>
      <c r="H19" s="48"/>
      <c r="I19" s="48"/>
      <c r="J19" s="49"/>
      <c r="K19" s="26"/>
    </row>
    <row r="20" spans="1:11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>
      <c r="A21" s="26"/>
      <c r="B21" s="37"/>
      <c r="C21" s="39"/>
      <c r="D21" s="38" t="s">
        <v>168</v>
      </c>
      <c r="E21" s="38" t="s">
        <v>18</v>
      </c>
      <c r="F21" s="61">
        <f>f*zed1/mra/9.808</f>
        <v>1144.0110804923531</v>
      </c>
      <c r="G21" s="39" t="s">
        <v>27</v>
      </c>
      <c r="H21" s="39"/>
      <c r="I21" s="39"/>
      <c r="J21" s="51"/>
      <c r="K21" s="42"/>
    </row>
    <row r="22" spans="1:11">
      <c r="A22" s="26"/>
      <c r="B22" s="40"/>
      <c r="C22" s="42"/>
      <c r="D22" s="44" t="s">
        <v>169</v>
      </c>
      <c r="E22" s="41" t="s">
        <v>45</v>
      </c>
      <c r="F22" s="62">
        <f>t+SQRT(2*(F21-zed1)/9.808)</f>
        <v>16.232236559266436</v>
      </c>
      <c r="G22" s="42" t="s">
        <v>12</v>
      </c>
      <c r="H22" s="42"/>
      <c r="I22" s="63" t="s">
        <v>77</v>
      </c>
      <c r="J22" s="43"/>
      <c r="K22" s="42"/>
    </row>
    <row r="23" spans="1:11">
      <c r="A23" s="26"/>
      <c r="B23" s="40"/>
      <c r="C23" s="42"/>
      <c r="D23" s="44" t="s">
        <v>170</v>
      </c>
      <c r="E23" s="41" t="s">
        <v>19</v>
      </c>
      <c r="F23" s="64">
        <f>SQRT(2*zed1/mra*(f-mra*9.808))</f>
        <v>140.95544705936115</v>
      </c>
      <c r="G23" s="86" t="s">
        <v>42</v>
      </c>
      <c r="H23" s="42"/>
      <c r="I23" s="42" t="s">
        <v>74</v>
      </c>
      <c r="J23" s="43"/>
      <c r="K23" s="42"/>
    </row>
    <row r="24" spans="1:11">
      <c r="A24" s="26"/>
      <c r="B24" s="46"/>
      <c r="C24" s="48"/>
      <c r="D24" s="47" t="s">
        <v>171</v>
      </c>
      <c r="E24" s="47" t="s">
        <v>13</v>
      </c>
      <c r="F24" s="66">
        <f>1/2*(f/mra-9.808)*t^2</f>
        <v>131.14209315016512</v>
      </c>
      <c r="G24" s="48" t="s">
        <v>27</v>
      </c>
      <c r="H24" s="48"/>
      <c r="I24" s="48"/>
      <c r="J24" s="49"/>
      <c r="K24" s="42"/>
    </row>
    <row r="25" spans="1:11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>
      <c r="A26" s="26"/>
      <c r="B26" s="37"/>
      <c r="C26" s="39"/>
      <c r="D26" s="38" t="s">
        <v>126</v>
      </c>
      <c r="E26" s="38" t="s">
        <v>109</v>
      </c>
      <c r="F26" s="61">
        <f>Cd*Dia^2*vmax^2/mr/1000</f>
        <v>876.19811825656234</v>
      </c>
      <c r="G26" s="101" t="str">
        <f>IF(iterm&gt;900,"Out of valid range!","(valid range between 0 and 900)")</f>
        <v>(valid range between 0 and 900)</v>
      </c>
      <c r="H26" s="39"/>
      <c r="I26" s="39"/>
      <c r="J26" s="51"/>
      <c r="K26" s="26"/>
    </row>
    <row r="27" spans="1:11">
      <c r="A27" s="26"/>
      <c r="B27" s="40"/>
      <c r="C27" s="42"/>
      <c r="D27" s="44" t="s">
        <v>26</v>
      </c>
      <c r="E27" s="44" t="s">
        <v>67</v>
      </c>
      <c r="F27" s="67">
        <f>IF(1/(1.049909+0.001719*iterm^1.0042225)&gt;1,1,1/(1.049909+0.001719*iterm^1.0042225))</f>
        <v>0.38464382442974027</v>
      </c>
      <c r="G27" s="42"/>
      <c r="H27" s="42"/>
      <c r="I27" s="42"/>
      <c r="J27" s="43"/>
      <c r="K27" s="26"/>
    </row>
    <row r="28" spans="1:11">
      <c r="A28" s="26"/>
      <c r="B28" s="40"/>
      <c r="C28" s="42"/>
      <c r="D28" s="41" t="s">
        <v>71</v>
      </c>
      <c r="E28" s="44" t="s">
        <v>68</v>
      </c>
      <c r="F28" s="67">
        <f>IF(1/(1.048224+0.001093*iterm^0.97255)&gt;1,1,1/(1.048224+0.001093*iterm^0.97255))</f>
        <v>0.54248406013888772</v>
      </c>
      <c r="G28" s="42"/>
      <c r="H28" s="26"/>
      <c r="I28" s="68" t="s">
        <v>76</v>
      </c>
      <c r="J28" s="43"/>
      <c r="K28" s="26"/>
    </row>
    <row r="29" spans="1:11">
      <c r="A29" s="26"/>
      <c r="B29" s="40"/>
      <c r="C29" s="42"/>
      <c r="D29" s="41" t="s">
        <v>72</v>
      </c>
      <c r="E29" s="44" t="s">
        <v>69</v>
      </c>
      <c r="F29" s="67">
        <f>IF((0.99769-0.000075691*iterm)&gt;1,1,(0.99769-0.000075691*iterm))</f>
        <v>0.93136968823104249</v>
      </c>
      <c r="G29" s="42"/>
      <c r="H29" s="42"/>
      <c r="I29" s="42"/>
      <c r="J29" s="43"/>
      <c r="K29" s="26"/>
    </row>
    <row r="30" spans="1:11">
      <c r="A30" s="26"/>
      <c r="B30" s="46"/>
      <c r="C30" s="48"/>
      <c r="D30" s="47" t="s">
        <v>73</v>
      </c>
      <c r="E30" s="69" t="s">
        <v>70</v>
      </c>
      <c r="F30" s="70">
        <f>IF((0.99973-0.000043807*iterm)&gt;1,1,(0.99973-0.000043807*iterm))</f>
        <v>0.96134638903353475</v>
      </c>
      <c r="G30" s="48"/>
      <c r="H30" s="48"/>
      <c r="I30" s="48"/>
      <c r="J30" s="49"/>
      <c r="K30" s="26"/>
    </row>
    <row r="31" spans="1:11">
      <c r="A31" s="26"/>
      <c r="B31" s="26"/>
      <c r="C31" s="26"/>
      <c r="D31" s="71"/>
      <c r="E31" s="72"/>
      <c r="F31" s="73"/>
      <c r="G31" s="26"/>
      <c r="H31" s="74"/>
      <c r="I31" s="26"/>
      <c r="J31" s="26"/>
      <c r="K31" s="26"/>
    </row>
    <row r="32" spans="1:11">
      <c r="A32" s="26"/>
      <c r="B32" s="26"/>
      <c r="C32" s="75"/>
      <c r="D32" s="76" t="s">
        <v>17</v>
      </c>
      <c r="E32" s="76" t="s">
        <v>64</v>
      </c>
      <c r="F32" s="77">
        <f>fact1*F21</f>
        <v>440.03679719057811</v>
      </c>
      <c r="G32" s="78" t="s">
        <v>27</v>
      </c>
      <c r="H32" s="26"/>
      <c r="I32" s="39"/>
      <c r="J32" s="51"/>
      <c r="K32" s="26"/>
    </row>
    <row r="33" spans="1:11">
      <c r="A33" s="26"/>
      <c r="B33" s="26"/>
      <c r="C33" s="79"/>
      <c r="D33" s="55" t="s">
        <v>46</v>
      </c>
      <c r="E33" s="54" t="s">
        <v>63</v>
      </c>
      <c r="F33" s="80">
        <f>fact2*F22</f>
        <v>8.8057295938057454</v>
      </c>
      <c r="G33" s="81" t="s">
        <v>12</v>
      </c>
      <c r="H33" s="42"/>
      <c r="I33" s="82" t="s">
        <v>79</v>
      </c>
      <c r="J33" s="43"/>
      <c r="K33" s="26"/>
    </row>
    <row r="34" spans="1:11">
      <c r="A34" s="26"/>
      <c r="B34" s="26"/>
      <c r="C34" s="40"/>
      <c r="D34" s="55" t="s">
        <v>62</v>
      </c>
      <c r="E34" s="54" t="s">
        <v>65</v>
      </c>
      <c r="F34" s="56">
        <f>fact3*F23</f>
        <v>131.28163078214442</v>
      </c>
      <c r="G34" s="81" t="s">
        <v>42</v>
      </c>
      <c r="H34" s="42"/>
      <c r="I34" s="42" t="s">
        <v>75</v>
      </c>
      <c r="J34" s="43"/>
      <c r="K34" s="26"/>
    </row>
    <row r="35" spans="1:11">
      <c r="A35" s="26"/>
      <c r="B35" s="26"/>
      <c r="C35" s="40"/>
      <c r="D35" s="55"/>
      <c r="E35" s="103" t="s">
        <v>112</v>
      </c>
      <c r="F35" s="56">
        <f>F34*3.6</f>
        <v>472.61387081571991</v>
      </c>
      <c r="G35" s="81" t="s">
        <v>80</v>
      </c>
      <c r="H35" s="42"/>
      <c r="I35" s="42"/>
      <c r="J35" s="43"/>
      <c r="K35" s="26"/>
    </row>
    <row r="36" spans="1:11">
      <c r="A36" s="26"/>
      <c r="B36" s="26"/>
      <c r="C36" s="46"/>
      <c r="D36" s="58" t="s">
        <v>14</v>
      </c>
      <c r="E36" s="83" t="s">
        <v>66</v>
      </c>
      <c r="F36" s="84">
        <f>fact4*zed1</f>
        <v>126.0729777002107</v>
      </c>
      <c r="G36" s="60" t="s">
        <v>27</v>
      </c>
      <c r="H36" s="48"/>
      <c r="I36" s="48"/>
      <c r="J36" s="49"/>
      <c r="K36" s="26"/>
    </row>
    <row r="37" spans="1:11">
      <c r="A37" s="26"/>
      <c r="B37" s="26"/>
      <c r="C37" s="26"/>
      <c r="D37" s="115" t="str">
        <f>IF(F23&gt;331,"Warning: Rocket is supersonic, results may be invalid","")</f>
        <v/>
      </c>
      <c r="E37" s="54"/>
      <c r="F37" s="26"/>
      <c r="G37" s="26"/>
      <c r="H37" s="26"/>
      <c r="I37" s="26"/>
      <c r="J37" s="26"/>
      <c r="K37" s="26"/>
    </row>
    <row r="38" spans="1:11">
      <c r="A38" s="42"/>
      <c r="B38" s="42"/>
      <c r="C38" s="42"/>
      <c r="D38" s="42"/>
      <c r="E38" s="42"/>
      <c r="F38" s="42"/>
      <c r="G38" s="42"/>
      <c r="H38" s="42"/>
      <c r="I38" s="26"/>
      <c r="J38" s="26"/>
      <c r="K38" s="26"/>
    </row>
    <row r="39" spans="1:11">
      <c r="A39" s="42"/>
      <c r="B39" s="99"/>
      <c r="C39" s="42"/>
      <c r="D39" s="42"/>
      <c r="E39" s="42"/>
      <c r="F39" s="42"/>
      <c r="G39" s="42"/>
      <c r="H39" s="42"/>
      <c r="I39" s="26"/>
      <c r="J39" s="26"/>
      <c r="K39" s="26"/>
    </row>
    <row r="40" spans="1:11">
      <c r="A40" s="42"/>
      <c r="B40" s="100"/>
      <c r="C40" s="42"/>
      <c r="D40" s="42"/>
      <c r="E40" s="42"/>
      <c r="F40" s="42"/>
      <c r="G40" s="42"/>
      <c r="H40" s="42"/>
      <c r="I40" s="26"/>
      <c r="J40" s="26"/>
      <c r="K40" s="26"/>
    </row>
    <row r="41" spans="1:11">
      <c r="A41" s="26"/>
      <c r="B41" s="85"/>
      <c r="C41" s="26"/>
      <c r="D41" s="26"/>
      <c r="E41" s="26"/>
      <c r="F41" s="26"/>
      <c r="G41" s="26"/>
      <c r="H41" s="26"/>
      <c r="I41" s="26"/>
      <c r="J41" s="26"/>
      <c r="K41" s="26"/>
    </row>
    <row r="42" spans="1:11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</row>
  </sheetData>
  <sheetProtection password="ED6E" sheet="1" objects="1" scenarios="1"/>
  <phoneticPr fontId="0" type="noConversion"/>
  <pageMargins left="0.32" right="0.75" top="1" bottom="1" header="0.5" footer="0.5"/>
  <pageSetup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T28"/>
  <sheetViews>
    <sheetView showGridLines="0" zoomScale="90" zoomScaleNormal="100" workbookViewId="0">
      <selection activeCell="F2" sqref="F2"/>
    </sheetView>
  </sheetViews>
  <sheetFormatPr defaultColWidth="9.109375" defaultRowHeight="13.2"/>
  <cols>
    <col min="1" max="1" width="10" style="107" customWidth="1"/>
    <col min="2" max="2" width="12" style="107" customWidth="1"/>
    <col min="3" max="4" width="4.6640625" style="2" hidden="1" customWidth="1"/>
    <col min="5" max="5" width="15.88671875" style="2" customWidth="1"/>
    <col min="6" max="6" width="9.109375" style="2"/>
    <col min="7" max="7" width="15" style="2" bestFit="1" customWidth="1"/>
    <col min="8" max="16384" width="9.109375" style="2"/>
  </cols>
  <sheetData>
    <row r="1" spans="1:20" ht="13.5" customHeight="1">
      <c r="A1" s="116">
        <f>A26</f>
        <v>9.9999999999999964E-2</v>
      </c>
      <c r="B1" s="117">
        <f>Metric!F32</f>
        <v>440.03679719057811</v>
      </c>
      <c r="E1" s="130" t="s">
        <v>154</v>
      </c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</row>
    <row r="2" spans="1:20" ht="13.5" customHeight="1">
      <c r="A2" s="119" t="s">
        <v>127</v>
      </c>
      <c r="B2" s="119" t="s">
        <v>135</v>
      </c>
      <c r="C2" s="120" t="s">
        <v>128</v>
      </c>
      <c r="D2" s="120" t="s">
        <v>129</v>
      </c>
      <c r="E2" s="121" t="s">
        <v>130</v>
      </c>
      <c r="F2" s="128">
        <v>2.5000000000000001E-2</v>
      </c>
      <c r="G2" s="2" t="s">
        <v>131</v>
      </c>
      <c r="I2" s="122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</row>
    <row r="3" spans="1:20">
      <c r="A3" s="123">
        <f>F2</f>
        <v>2.5000000000000001E-2</v>
      </c>
      <c r="B3" s="124">
        <v>317.11823878515548</v>
      </c>
      <c r="C3" s="125">
        <f t="shared" ref="C3:C26" si="0">INT(B3)</f>
        <v>317</v>
      </c>
      <c r="D3" s="125">
        <f t="shared" ref="D3:D26" si="1">A3</f>
        <v>2.5000000000000001E-2</v>
      </c>
      <c r="E3" s="121" t="s">
        <v>132</v>
      </c>
      <c r="F3" s="128">
        <v>0.1</v>
      </c>
      <c r="G3" s="2" t="s">
        <v>131</v>
      </c>
    </row>
    <row r="4" spans="1:20">
      <c r="A4" s="123">
        <f t="shared" ref="A4:A26" si="2">A3+$F$4</f>
        <v>2.8260869565217395E-2</v>
      </c>
      <c r="B4" s="124">
        <v>349.78104643641126</v>
      </c>
      <c r="C4" s="125">
        <f t="shared" si="0"/>
        <v>349</v>
      </c>
      <c r="D4" s="125">
        <f t="shared" si="1"/>
        <v>2.8260869565217395E-2</v>
      </c>
      <c r="E4" s="121" t="s">
        <v>133</v>
      </c>
      <c r="F4" s="126">
        <f>(F3-F2)/23</f>
        <v>3.260869565217392E-3</v>
      </c>
      <c r="G4" s="2" t="s">
        <v>131</v>
      </c>
    </row>
    <row r="5" spans="1:20">
      <c r="A5" s="123">
        <f t="shared" si="2"/>
        <v>3.1521739130434788E-2</v>
      </c>
      <c r="B5" s="124">
        <v>378.01041935032288</v>
      </c>
      <c r="C5" s="125">
        <f t="shared" si="0"/>
        <v>378</v>
      </c>
      <c r="D5" s="125">
        <f t="shared" si="1"/>
        <v>3.1521739130434788E-2</v>
      </c>
      <c r="E5" s="131" t="s">
        <v>134</v>
      </c>
      <c r="F5" s="132">
        <f>VLOOKUP( MAX(C3:C26),C3:D26,2,FALSE)</f>
        <v>4.7826086956521754E-2</v>
      </c>
      <c r="G5" s="133" t="s">
        <v>131</v>
      </c>
    </row>
    <row r="6" spans="1:20">
      <c r="A6" s="123">
        <f t="shared" si="2"/>
        <v>3.4782608695652181E-2</v>
      </c>
      <c r="B6" s="124">
        <v>401.25426794977875</v>
      </c>
      <c r="C6" s="125">
        <f t="shared" si="0"/>
        <v>401</v>
      </c>
      <c r="D6" s="125">
        <f t="shared" si="1"/>
        <v>3.4782608695652181E-2</v>
      </c>
      <c r="E6" s="134" t="s">
        <v>136</v>
      </c>
      <c r="F6" s="135">
        <f>MAX(B3:B26)</f>
        <v>441.06679423111387</v>
      </c>
      <c r="G6" s="136" t="s">
        <v>128</v>
      </c>
      <c r="H6" s="172"/>
    </row>
    <row r="7" spans="1:20">
      <c r="A7" s="123">
        <f t="shared" si="2"/>
        <v>3.8043478260869575E-2</v>
      </c>
      <c r="B7" s="124">
        <v>419.17108419414654</v>
      </c>
      <c r="C7" s="125">
        <f t="shared" si="0"/>
        <v>419</v>
      </c>
      <c r="D7" s="125">
        <f t="shared" si="1"/>
        <v>3.8043478260869575E-2</v>
      </c>
      <c r="E7" s="127"/>
    </row>
    <row r="8" spans="1:20">
      <c r="A8" s="123">
        <f t="shared" si="2"/>
        <v>4.1304347826086968E-2</v>
      </c>
      <c r="B8" s="124">
        <v>431.65652440680168</v>
      </c>
      <c r="C8" s="125">
        <f t="shared" si="0"/>
        <v>431</v>
      </c>
      <c r="D8" s="125">
        <f t="shared" si="1"/>
        <v>4.1304347826086968E-2</v>
      </c>
      <c r="E8" s="127"/>
    </row>
    <row r="9" spans="1:20">
      <c r="A9" s="123">
        <f t="shared" si="2"/>
        <v>4.4565217391304361E-2</v>
      </c>
      <c r="B9" s="124">
        <v>438.84191427707361</v>
      </c>
      <c r="C9" s="125">
        <f t="shared" si="0"/>
        <v>438</v>
      </c>
      <c r="D9" s="125">
        <f t="shared" si="1"/>
        <v>4.4565217391304361E-2</v>
      </c>
      <c r="E9" s="127"/>
    </row>
    <row r="10" spans="1:20">
      <c r="A10" s="123">
        <f t="shared" si="2"/>
        <v>4.7826086956521754E-2</v>
      </c>
      <c r="B10" s="124">
        <v>441.06679423111387</v>
      </c>
      <c r="C10" s="125">
        <f t="shared" si="0"/>
        <v>441</v>
      </c>
      <c r="D10" s="125">
        <f t="shared" si="1"/>
        <v>4.7826086956521754E-2</v>
      </c>
      <c r="E10" s="127"/>
    </row>
    <row r="11" spans="1:20">
      <c r="A11" s="123">
        <f t="shared" si="2"/>
        <v>5.1086956521739148E-2</v>
      </c>
      <c r="B11" s="124">
        <v>438.83251779312599</v>
      </c>
      <c r="C11" s="125">
        <f t="shared" si="0"/>
        <v>438</v>
      </c>
      <c r="D11" s="125">
        <f t="shared" si="1"/>
        <v>5.1086956521739148E-2</v>
      </c>
      <c r="E11" s="127"/>
    </row>
    <row r="12" spans="1:20">
      <c r="A12" s="123">
        <f t="shared" si="2"/>
        <v>5.4347826086956541E-2</v>
      </c>
      <c r="B12" s="124">
        <v>432.74642786596826</v>
      </c>
      <c r="C12" s="125">
        <f t="shared" si="0"/>
        <v>432</v>
      </c>
      <c r="D12" s="125">
        <f t="shared" si="1"/>
        <v>5.4347826086956541E-2</v>
      </c>
      <c r="E12" s="127"/>
    </row>
    <row r="13" spans="1:20">
      <c r="A13" s="123">
        <f t="shared" si="2"/>
        <v>5.7608695652173934E-2</v>
      </c>
      <c r="B13" s="124">
        <v>423.46597058474549</v>
      </c>
      <c r="C13" s="125">
        <f t="shared" si="0"/>
        <v>423</v>
      </c>
      <c r="D13" s="125">
        <f t="shared" si="1"/>
        <v>5.7608695652173934E-2</v>
      </c>
      <c r="E13" s="127"/>
    </row>
    <row r="14" spans="1:20">
      <c r="A14" s="123">
        <f t="shared" si="2"/>
        <v>6.0869565217391328E-2</v>
      </c>
      <c r="B14" s="124">
        <v>411.64992837143933</v>
      </c>
      <c r="C14" s="125">
        <f t="shared" si="0"/>
        <v>411</v>
      </c>
      <c r="D14" s="125">
        <f t="shared" si="1"/>
        <v>6.0869565217391328E-2</v>
      </c>
      <c r="E14" s="127"/>
    </row>
    <row r="15" spans="1:20">
      <c r="A15" s="123">
        <f t="shared" si="2"/>
        <v>6.4130434782608714E-2</v>
      </c>
      <c r="B15" s="124">
        <v>397.92088418467409</v>
      </c>
      <c r="C15" s="125">
        <f t="shared" si="0"/>
        <v>397</v>
      </c>
      <c r="D15" s="125">
        <f t="shared" si="1"/>
        <v>6.4130434782608714E-2</v>
      </c>
      <c r="E15" s="127"/>
    </row>
    <row r="16" spans="1:20">
      <c r="A16" s="123">
        <f t="shared" si="2"/>
        <v>6.73913043478261E-2</v>
      </c>
      <c r="B16" s="124">
        <v>382.84010021411814</v>
      </c>
      <c r="C16" s="125">
        <f t="shared" si="0"/>
        <v>382</v>
      </c>
      <c r="D16" s="125">
        <f t="shared" si="1"/>
        <v>6.73913043478261E-2</v>
      </c>
      <c r="E16" s="127"/>
    </row>
    <row r="17" spans="1:5">
      <c r="A17" s="123">
        <f t="shared" si="2"/>
        <v>7.0652173913043487E-2</v>
      </c>
      <c r="B17" s="124">
        <v>366.89383277695083</v>
      </c>
      <c r="C17" s="125">
        <f t="shared" si="0"/>
        <v>366</v>
      </c>
      <c r="D17" s="125">
        <f t="shared" si="1"/>
        <v>7.0652173913043487E-2</v>
      </c>
      <c r="E17" s="127"/>
    </row>
    <row r="18" spans="1:5">
      <c r="A18" s="123">
        <f t="shared" si="2"/>
        <v>7.3913043478260873E-2</v>
      </c>
      <c r="B18" s="124">
        <v>350.48889155131923</v>
      </c>
      <c r="C18" s="125">
        <f t="shared" si="0"/>
        <v>350</v>
      </c>
      <c r="D18" s="125">
        <f t="shared" si="1"/>
        <v>7.3913043478260873E-2</v>
      </c>
      <c r="E18" s="127"/>
    </row>
    <row r="19" spans="1:5">
      <c r="A19" s="123">
        <f t="shared" si="2"/>
        <v>7.7173913043478259E-2</v>
      </c>
      <c r="B19" s="124">
        <v>333.95485529018725</v>
      </c>
      <c r="C19" s="125">
        <f t="shared" si="0"/>
        <v>333</v>
      </c>
      <c r="D19" s="125">
        <f t="shared" si="1"/>
        <v>7.7173913043478259E-2</v>
      </c>
      <c r="E19" s="127"/>
    </row>
    <row r="20" spans="1:5">
      <c r="A20" s="123">
        <f t="shared" si="2"/>
        <v>8.0434782608695646E-2</v>
      </c>
      <c r="B20" s="124">
        <v>317.55051286586485</v>
      </c>
      <c r="C20" s="125">
        <f t="shared" si="0"/>
        <v>317</v>
      </c>
      <c r="D20" s="125">
        <f t="shared" si="1"/>
        <v>8.0434782608695646E-2</v>
      </c>
      <c r="E20" s="127"/>
    </row>
    <row r="21" spans="1:5">
      <c r="A21" s="123">
        <f t="shared" si="2"/>
        <v>8.3695652173913032E-2</v>
      </c>
      <c r="B21" s="124">
        <v>301.47254137318714</v>
      </c>
      <c r="C21" s="125">
        <f t="shared" si="0"/>
        <v>301</v>
      </c>
      <c r="D21" s="125">
        <f t="shared" si="1"/>
        <v>8.3695652173913032E-2</v>
      </c>
      <c r="E21" s="127"/>
    </row>
    <row r="22" spans="1:5">
      <c r="A22" s="123">
        <f t="shared" si="2"/>
        <v>8.6956521739130418E-2</v>
      </c>
      <c r="B22" s="124">
        <v>285.86496070140078</v>
      </c>
      <c r="C22" s="125">
        <f t="shared" si="0"/>
        <v>285</v>
      </c>
      <c r="D22" s="125">
        <f t="shared" si="1"/>
        <v>8.6956521739130418E-2</v>
      </c>
      <c r="E22" s="127"/>
    </row>
    <row r="23" spans="1:5">
      <c r="A23" s="123">
        <f t="shared" si="2"/>
        <v>9.0217391304347805E-2</v>
      </c>
      <c r="B23" s="124">
        <v>270.82839459595669</v>
      </c>
      <c r="C23" s="125">
        <f t="shared" si="0"/>
        <v>270</v>
      </c>
      <c r="D23" s="125">
        <f t="shared" si="1"/>
        <v>9.0217391304347805E-2</v>
      </c>
      <c r="E23" s="127"/>
    </row>
    <row r="24" spans="1:5">
      <c r="A24" s="123">
        <f t="shared" si="2"/>
        <v>9.3478260869565191E-2</v>
      </c>
      <c r="B24" s="124">
        <v>256.42856562080783</v>
      </c>
      <c r="C24" s="125">
        <f t="shared" si="0"/>
        <v>256</v>
      </c>
      <c r="D24" s="125">
        <f t="shared" si="1"/>
        <v>9.3478260869565191E-2</v>
      </c>
      <c r="E24" s="127"/>
    </row>
    <row r="25" spans="1:5">
      <c r="A25" s="123">
        <f t="shared" si="2"/>
        <v>9.6739130434782578E-2</v>
      </c>
      <c r="B25" s="124">
        <v>242.70374286080278</v>
      </c>
      <c r="C25" s="125">
        <f t="shared" si="0"/>
        <v>242</v>
      </c>
      <c r="D25" s="125">
        <f t="shared" si="1"/>
        <v>9.6739130434782578E-2</v>
      </c>
      <c r="E25" s="127"/>
    </row>
    <row r="26" spans="1:5">
      <c r="A26" s="123">
        <f t="shared" si="2"/>
        <v>9.9999999999999964E-2</v>
      </c>
      <c r="B26" s="124">
        <v>229.67105725686287</v>
      </c>
      <c r="C26" s="125">
        <f t="shared" si="0"/>
        <v>229</v>
      </c>
      <c r="D26" s="125">
        <f t="shared" si="1"/>
        <v>9.9999999999999964E-2</v>
      </c>
      <c r="E26" s="127"/>
    </row>
    <row r="28" spans="1:5" ht="15.6">
      <c r="E28" s="139" t="s">
        <v>155</v>
      </c>
    </row>
  </sheetData>
  <sheetProtection password="ED6E" sheet="1" objects="1" scenarios="1"/>
  <phoneticPr fontId="0" type="noConversion"/>
  <pageMargins left="0.75" right="0.75" top="1" bottom="1" header="0.5" footer="0.5"/>
  <pageSetup scale="84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ass">
                <anchor moveWithCells="1" sizeWithCells="1">
                  <from>
                    <xdr:col>6</xdr:col>
                    <xdr:colOff>381000</xdr:colOff>
                    <xdr:row>1</xdr:row>
                    <xdr:rowOff>45720</xdr:rowOff>
                  </from>
                  <to>
                    <xdr:col>7</xdr:col>
                    <xdr:colOff>373380</xdr:colOff>
                    <xdr:row>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6:G26"/>
  <sheetViews>
    <sheetView showGridLines="0" workbookViewId="0"/>
  </sheetViews>
  <sheetFormatPr defaultRowHeight="13.2"/>
  <cols>
    <col min="6" max="6" width="2.44140625" customWidth="1"/>
  </cols>
  <sheetData>
    <row r="6" spans="2:6" ht="13.8" thickBot="1"/>
    <row r="7" spans="2:6" ht="15" thickTop="1" thickBot="1">
      <c r="B7" s="182" t="s">
        <v>86</v>
      </c>
      <c r="C7" s="183"/>
      <c r="D7" s="183"/>
      <c r="E7" s="183"/>
      <c r="F7" s="184"/>
    </row>
    <row r="8" spans="2:6" ht="13.8">
      <c r="B8" s="87" t="s">
        <v>48</v>
      </c>
      <c r="C8" s="176" t="s">
        <v>49</v>
      </c>
      <c r="D8" s="177"/>
      <c r="E8" s="178"/>
      <c r="F8" s="13"/>
    </row>
    <row r="9" spans="2:6" ht="14.4" thickBot="1">
      <c r="B9" s="14"/>
      <c r="C9" s="179" t="s">
        <v>90</v>
      </c>
      <c r="D9" s="180"/>
      <c r="E9" s="181"/>
      <c r="F9" s="13"/>
    </row>
    <row r="10" spans="2:6" ht="14.4" thickTop="1">
      <c r="B10" s="171" t="s">
        <v>178</v>
      </c>
      <c r="C10" s="169">
        <v>1.3</v>
      </c>
      <c r="D10" s="167"/>
      <c r="E10" s="170">
        <v>2.5</v>
      </c>
      <c r="F10" s="13"/>
    </row>
    <row r="11" spans="2:6" ht="13.8">
      <c r="B11" s="16" t="s">
        <v>51</v>
      </c>
      <c r="C11" s="10">
        <v>2.5</v>
      </c>
      <c r="D11" s="11" t="s">
        <v>50</v>
      </c>
      <c r="E11" s="12">
        <v>5</v>
      </c>
      <c r="F11" s="15" t="s">
        <v>51</v>
      </c>
    </row>
    <row r="12" spans="2:6" ht="13.8">
      <c r="B12" s="16" t="s">
        <v>52</v>
      </c>
      <c r="C12" s="161">
        <v>5.0999999999999996</v>
      </c>
      <c r="D12" s="11" t="s">
        <v>50</v>
      </c>
      <c r="E12" s="12">
        <v>10</v>
      </c>
      <c r="F12" s="15" t="s">
        <v>52</v>
      </c>
    </row>
    <row r="13" spans="2:6" ht="13.8">
      <c r="B13" s="16" t="s">
        <v>53</v>
      </c>
      <c r="C13" s="161">
        <v>10.1</v>
      </c>
      <c r="D13" s="11" t="s">
        <v>50</v>
      </c>
      <c r="E13" s="12">
        <v>20</v>
      </c>
      <c r="F13" s="15" t="s">
        <v>53</v>
      </c>
    </row>
    <row r="14" spans="2:6" ht="13.8">
      <c r="B14" s="16" t="s">
        <v>54</v>
      </c>
      <c r="C14" s="161">
        <v>20.100000000000001</v>
      </c>
      <c r="D14" s="11" t="s">
        <v>50</v>
      </c>
      <c r="E14" s="12">
        <v>40</v>
      </c>
      <c r="F14" s="15" t="s">
        <v>54</v>
      </c>
    </row>
    <row r="15" spans="2:6" ht="13.8">
      <c r="B15" s="16" t="s">
        <v>55</v>
      </c>
      <c r="C15" s="161">
        <v>40.1</v>
      </c>
      <c r="D15" s="11" t="s">
        <v>50</v>
      </c>
      <c r="E15" s="12">
        <v>80</v>
      </c>
      <c r="F15" s="15" t="s">
        <v>55</v>
      </c>
    </row>
    <row r="16" spans="2:6" ht="13.8">
      <c r="B16" s="16" t="s">
        <v>56</v>
      </c>
      <c r="C16" s="161">
        <v>80.099999999999994</v>
      </c>
      <c r="D16" s="11" t="s">
        <v>50</v>
      </c>
      <c r="E16" s="12">
        <v>160</v>
      </c>
      <c r="F16" s="15" t="s">
        <v>56</v>
      </c>
    </row>
    <row r="17" spans="1:7" ht="13.8">
      <c r="B17" s="16" t="s">
        <v>57</v>
      </c>
      <c r="C17" s="161">
        <v>160.1</v>
      </c>
      <c r="D17" s="11" t="s">
        <v>50</v>
      </c>
      <c r="E17" s="12">
        <v>320</v>
      </c>
      <c r="F17" s="15" t="s">
        <v>57</v>
      </c>
    </row>
    <row r="18" spans="1:7" ht="13.8">
      <c r="B18" s="16" t="s">
        <v>58</v>
      </c>
      <c r="C18" s="161">
        <v>320.10000000000002</v>
      </c>
      <c r="D18" s="11" t="s">
        <v>50</v>
      </c>
      <c r="E18" s="12">
        <v>640</v>
      </c>
      <c r="F18" s="15" t="s">
        <v>58</v>
      </c>
    </row>
    <row r="19" spans="1:7" ht="13.8">
      <c r="B19" s="16" t="s">
        <v>59</v>
      </c>
      <c r="C19" s="161">
        <v>640.1</v>
      </c>
      <c r="D19" s="11" t="s">
        <v>50</v>
      </c>
      <c r="E19" s="12">
        <v>1280</v>
      </c>
      <c r="F19" s="15" t="s">
        <v>59</v>
      </c>
    </row>
    <row r="20" spans="1:7" ht="14.4" thickBot="1">
      <c r="B20" s="17" t="s">
        <v>60</v>
      </c>
      <c r="C20" s="162">
        <v>1280.0999999999999</v>
      </c>
      <c r="D20" s="18" t="s">
        <v>50</v>
      </c>
      <c r="E20" s="19">
        <v>2560</v>
      </c>
      <c r="F20" s="20" t="s">
        <v>60</v>
      </c>
    </row>
    <row r="21" spans="1:7" ht="14.4" thickTop="1">
      <c r="A21" s="107"/>
      <c r="B21" s="108"/>
      <c r="C21" s="109"/>
      <c r="D21" s="110"/>
      <c r="E21" s="111"/>
      <c r="F21" s="112"/>
      <c r="G21" s="107"/>
    </row>
    <row r="22" spans="1:7" ht="13.8">
      <c r="A22" s="107"/>
      <c r="B22" s="108"/>
      <c r="C22" s="109"/>
      <c r="D22" s="110"/>
      <c r="E22" s="111"/>
      <c r="F22" s="112"/>
      <c r="G22" s="107"/>
    </row>
    <row r="23" spans="1:7" ht="13.8">
      <c r="A23" s="107"/>
      <c r="B23" s="108"/>
      <c r="C23" s="109"/>
      <c r="D23" s="110"/>
      <c r="E23" s="111"/>
      <c r="F23" s="112"/>
      <c r="G23" s="107"/>
    </row>
    <row r="24" spans="1:7" ht="13.8">
      <c r="A24" s="107"/>
      <c r="B24" s="108"/>
      <c r="C24" s="109"/>
      <c r="D24" s="110"/>
      <c r="E24" s="111"/>
      <c r="F24" s="112"/>
      <c r="G24" s="107"/>
    </row>
    <row r="25" spans="1:7" ht="13.8">
      <c r="A25" s="107"/>
      <c r="B25" s="108"/>
      <c r="C25" s="109"/>
      <c r="D25" s="110"/>
      <c r="E25" s="111"/>
      <c r="F25" s="112"/>
      <c r="G25" s="107"/>
    </row>
    <row r="26" spans="1:7">
      <c r="B26" s="9"/>
      <c r="C26" s="9"/>
      <c r="D26" s="9"/>
      <c r="E26" s="9"/>
    </row>
  </sheetData>
  <sheetProtection password="ED6E" sheet="1" objects="1" scenarios="1"/>
  <mergeCells count="3">
    <mergeCell ref="C8:E8"/>
    <mergeCell ref="C9:E9"/>
    <mergeCell ref="B7:F7"/>
  </mergeCells>
  <phoneticPr fontId="0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I24"/>
  <sheetViews>
    <sheetView showGridLines="0" workbookViewId="0"/>
  </sheetViews>
  <sheetFormatPr defaultRowHeight="13.2"/>
  <cols>
    <col min="2" max="2" width="8.33203125" customWidth="1"/>
    <col min="3" max="3" width="9.88671875" customWidth="1"/>
    <col min="4" max="4" width="18.6640625" customWidth="1"/>
    <col min="5" max="5" width="25" customWidth="1"/>
  </cols>
  <sheetData>
    <row r="3" spans="2:9">
      <c r="B3" s="155"/>
      <c r="C3" s="156" t="s">
        <v>91</v>
      </c>
      <c r="D3" s="21"/>
      <c r="E3" s="21"/>
      <c r="F3" s="21"/>
      <c r="G3" s="21"/>
      <c r="H3" s="21"/>
      <c r="I3" s="149"/>
    </row>
    <row r="4" spans="2:9">
      <c r="B4" s="22"/>
      <c r="C4" s="2"/>
      <c r="D4" s="2"/>
      <c r="E4" s="2"/>
      <c r="F4" s="2"/>
      <c r="G4" s="2"/>
      <c r="H4" s="2"/>
      <c r="I4" s="150"/>
    </row>
    <row r="5" spans="2:9">
      <c r="B5" s="157" t="s">
        <v>92</v>
      </c>
      <c r="C5" s="158" t="s">
        <v>93</v>
      </c>
      <c r="D5" s="159" t="s">
        <v>94</v>
      </c>
      <c r="E5" s="158" t="s">
        <v>95</v>
      </c>
      <c r="F5" s="158"/>
      <c r="G5" s="105"/>
      <c r="H5" s="105"/>
      <c r="I5" s="154"/>
    </row>
    <row r="6" spans="2:9">
      <c r="B6" s="141">
        <v>1</v>
      </c>
      <c r="C6" s="142">
        <v>37610</v>
      </c>
      <c r="D6" s="143" t="s">
        <v>96</v>
      </c>
      <c r="E6" s="144" t="s">
        <v>97</v>
      </c>
      <c r="F6" s="144"/>
      <c r="G6" s="144"/>
      <c r="H6" s="144"/>
      <c r="I6" s="145"/>
    </row>
    <row r="7" spans="2:9">
      <c r="B7" s="146">
        <v>1.1000000000000001</v>
      </c>
      <c r="C7" s="142">
        <v>38626</v>
      </c>
      <c r="D7" s="143" t="s">
        <v>140</v>
      </c>
      <c r="E7" s="144" t="s">
        <v>141</v>
      </c>
      <c r="F7" s="144"/>
      <c r="G7" s="144"/>
      <c r="H7" s="144"/>
      <c r="I7" s="145"/>
    </row>
    <row r="8" spans="2:9">
      <c r="B8" s="147">
        <v>1.2</v>
      </c>
      <c r="C8" s="88">
        <v>39114</v>
      </c>
      <c r="D8" s="89" t="s">
        <v>156</v>
      </c>
      <c r="E8" s="148" t="s">
        <v>179</v>
      </c>
      <c r="F8" s="21"/>
      <c r="G8" s="21"/>
      <c r="H8" s="21"/>
      <c r="I8" s="149"/>
    </row>
    <row r="9" spans="2:9">
      <c r="B9" s="22"/>
      <c r="C9" s="2"/>
      <c r="D9" s="23" t="s">
        <v>142</v>
      </c>
      <c r="E9" s="2" t="s">
        <v>173</v>
      </c>
      <c r="F9" s="2"/>
      <c r="G9" s="2"/>
      <c r="H9" s="2"/>
      <c r="I9" s="150"/>
    </row>
    <row r="10" spans="2:9">
      <c r="B10" s="22"/>
      <c r="C10" s="2"/>
      <c r="D10" s="23" t="s">
        <v>142</v>
      </c>
      <c r="E10" s="107" t="s">
        <v>160</v>
      </c>
      <c r="F10" s="2"/>
      <c r="G10" s="2"/>
      <c r="H10" s="2"/>
      <c r="I10" s="150"/>
    </row>
    <row r="11" spans="2:9">
      <c r="B11" s="22"/>
      <c r="C11" s="2"/>
      <c r="D11" s="23" t="s">
        <v>142</v>
      </c>
      <c r="E11" s="2" t="s">
        <v>157</v>
      </c>
      <c r="F11" s="2"/>
      <c r="G11" s="2"/>
      <c r="H11" s="2"/>
      <c r="I11" s="150"/>
    </row>
    <row r="12" spans="2:9">
      <c r="B12" s="22"/>
      <c r="C12" s="2"/>
      <c r="D12" s="23" t="s">
        <v>142</v>
      </c>
      <c r="E12" s="107" t="s">
        <v>180</v>
      </c>
      <c r="F12" s="2"/>
      <c r="G12" s="2"/>
      <c r="H12" s="2"/>
      <c r="I12" s="150"/>
    </row>
    <row r="13" spans="2:9">
      <c r="B13" s="22"/>
      <c r="C13" s="2"/>
      <c r="D13" s="23" t="s">
        <v>158</v>
      </c>
      <c r="E13" s="2" t="s">
        <v>173</v>
      </c>
      <c r="F13" s="2"/>
      <c r="G13" s="2"/>
      <c r="H13" s="2"/>
      <c r="I13" s="150"/>
    </row>
    <row r="14" spans="2:9">
      <c r="B14" s="22"/>
      <c r="C14" s="2"/>
      <c r="D14" s="23" t="s">
        <v>158</v>
      </c>
      <c r="E14" s="107" t="s">
        <v>160</v>
      </c>
      <c r="F14" s="2"/>
      <c r="G14" s="2"/>
      <c r="H14" s="2"/>
      <c r="I14" s="150"/>
    </row>
    <row r="15" spans="2:9">
      <c r="B15" s="22"/>
      <c r="C15" s="2"/>
      <c r="D15" s="23" t="s">
        <v>158</v>
      </c>
      <c r="E15" s="107" t="s">
        <v>180</v>
      </c>
      <c r="F15" s="2"/>
      <c r="G15" s="2"/>
      <c r="H15" s="2"/>
      <c r="I15" s="150"/>
    </row>
    <row r="16" spans="2:9">
      <c r="B16" s="22"/>
      <c r="C16" s="91"/>
      <c r="D16" s="23" t="s">
        <v>161</v>
      </c>
      <c r="E16" s="107" t="s">
        <v>162</v>
      </c>
      <c r="F16" s="2"/>
      <c r="G16" s="2"/>
      <c r="H16" s="2"/>
      <c r="I16" s="150"/>
    </row>
    <row r="17" spans="1:9">
      <c r="B17" s="151"/>
      <c r="C17" s="105"/>
      <c r="D17" s="152" t="s">
        <v>48</v>
      </c>
      <c r="E17" s="153" t="s">
        <v>181</v>
      </c>
      <c r="F17" s="105"/>
      <c r="G17" s="105"/>
      <c r="H17" s="105"/>
      <c r="I17" s="154"/>
    </row>
    <row r="18" spans="1:9">
      <c r="A18" s="2"/>
      <c r="B18" s="2"/>
      <c r="C18" s="23"/>
      <c r="D18" s="90"/>
      <c r="E18" s="2"/>
      <c r="F18" s="2"/>
      <c r="G18" s="2"/>
    </row>
    <row r="19" spans="1:9">
      <c r="A19" s="2"/>
      <c r="B19" s="2"/>
      <c r="C19" s="23"/>
      <c r="D19" s="90"/>
      <c r="E19" s="2"/>
      <c r="F19" s="2"/>
      <c r="G19" s="2"/>
    </row>
    <row r="20" spans="1:9">
      <c r="A20" s="2"/>
      <c r="B20" s="2"/>
      <c r="C20" s="23"/>
      <c r="D20" s="90"/>
      <c r="E20" s="2"/>
      <c r="F20" s="2"/>
      <c r="G20" s="2"/>
    </row>
    <row r="21" spans="1:9">
      <c r="A21" s="2"/>
      <c r="B21" s="2"/>
      <c r="C21" s="23"/>
      <c r="D21" s="90"/>
      <c r="E21" s="2"/>
      <c r="F21" s="2"/>
      <c r="G21" s="2"/>
    </row>
    <row r="22" spans="1:9">
      <c r="A22" s="2"/>
      <c r="B22" s="2"/>
      <c r="C22" s="23"/>
      <c r="D22" s="90"/>
      <c r="E22" s="2"/>
      <c r="F22" s="2"/>
      <c r="G22" s="2"/>
    </row>
    <row r="23" spans="1:9">
      <c r="A23" s="2"/>
      <c r="B23" s="2"/>
      <c r="C23" s="23"/>
      <c r="D23" s="2"/>
      <c r="E23" s="2"/>
      <c r="F23" s="2"/>
      <c r="G23" s="2"/>
    </row>
    <row r="24" spans="1:9">
      <c r="C24" s="140"/>
    </row>
  </sheetData>
  <sheetProtection password="ED6E" sheet="1" objects="1" scenarios="1"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38</vt:i4>
      </vt:variant>
    </vt:vector>
  </HeadingPairs>
  <TitlesOfParts>
    <vt:vector size="44" baseType="lpstr">
      <vt:lpstr>Intro</vt:lpstr>
      <vt:lpstr>English</vt:lpstr>
      <vt:lpstr>Metric</vt:lpstr>
      <vt:lpstr>Best Mass</vt:lpstr>
      <vt:lpstr>Class</vt:lpstr>
      <vt:lpstr>Revisions</vt:lpstr>
      <vt:lpstr>a</vt:lpstr>
      <vt:lpstr>ae</vt:lpstr>
      <vt:lpstr>Cd</vt:lpstr>
      <vt:lpstr>cde</vt:lpstr>
      <vt:lpstr>classtab</vt:lpstr>
      <vt:lpstr>Dia</vt:lpstr>
      <vt:lpstr>diae</vt:lpstr>
      <vt:lpstr>f</vt:lpstr>
      <vt:lpstr>fact</vt:lpstr>
      <vt:lpstr>fact1</vt:lpstr>
      <vt:lpstr>fact1e</vt:lpstr>
      <vt:lpstr>fact2</vt:lpstr>
      <vt:lpstr>fact2e</vt:lpstr>
      <vt:lpstr>fact3</vt:lpstr>
      <vt:lpstr>fact3e</vt:lpstr>
      <vt:lpstr>fact4</vt:lpstr>
      <vt:lpstr>fact4e</vt:lpstr>
      <vt:lpstr>fe</vt:lpstr>
      <vt:lpstr>it</vt:lpstr>
      <vt:lpstr>ite</vt:lpstr>
      <vt:lpstr>iterm</vt:lpstr>
      <vt:lpstr>iterme</vt:lpstr>
      <vt:lpstr>mp</vt:lpstr>
      <vt:lpstr>mpe</vt:lpstr>
      <vt:lpstr>mr</vt:lpstr>
      <vt:lpstr>mra</vt:lpstr>
      <vt:lpstr>mrae</vt:lpstr>
      <vt:lpstr>mre</vt:lpstr>
      <vt:lpstr>English!Print_Area</vt:lpstr>
      <vt:lpstr>Intro!Print_Area</vt:lpstr>
      <vt:lpstr>Metric!Print_Area</vt:lpstr>
      <vt:lpstr>t</vt:lpstr>
      <vt:lpstr>target</vt:lpstr>
      <vt:lpstr>te</vt:lpstr>
      <vt:lpstr>vmax</vt:lpstr>
      <vt:lpstr>vmaxe</vt:lpstr>
      <vt:lpstr>zed1</vt:lpstr>
      <vt:lpstr>zed1e</vt:lpstr>
    </vt:vector>
  </TitlesOfParts>
  <Company>RNX Rocketry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Nakka</dc:creator>
  <cp:lastModifiedBy>Garrett Gustafson</cp:lastModifiedBy>
  <cp:lastPrinted>2002-12-21T16:31:05Z</cp:lastPrinted>
  <dcterms:created xsi:type="dcterms:W3CDTF">2002-12-08T20:48:40Z</dcterms:created>
  <dcterms:modified xsi:type="dcterms:W3CDTF">2014-10-18T23:51:23Z</dcterms:modified>
</cp:coreProperties>
</file>